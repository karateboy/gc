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code 二合一單" sheetId="1" r:id="rId4"/>
    <sheet state="visible" name="He_fabF7_Bundle_LB00070_2019092" sheetId="2" r:id="rId5"/>
  </sheets>
  <definedNames/>
  <calcPr/>
</workbook>
</file>

<file path=xl/sharedStrings.xml><?xml version="1.0" encoding="utf-8"?>
<sst xmlns="http://schemas.openxmlformats.org/spreadsheetml/2006/main" count="65" uniqueCount="59">
  <si>
    <t>SchemaName</t>
  </si>
  <si>
    <t>LB00070_GHe-bundle</t>
  </si>
  <si>
    <t>FabPhase</t>
  </si>
  <si>
    <t>F7</t>
  </si>
  <si>
    <t>ShipQty</t>
  </si>
  <si>
    <t>Maker</t>
  </si>
  <si>
    <t>Taichung</t>
  </si>
  <si>
    <t>ManufacturingDate</t>
  </si>
  <si>
    <t>DeliverDate</t>
  </si>
  <si>
    <t>PONo</t>
  </si>
  <si>
    <t>ContainerID</t>
  </si>
  <si>
    <t>28E026_027</t>
  </si>
  <si>
    <t>SpecNo</t>
  </si>
  <si>
    <t>NA</t>
  </si>
  <si>
    <t>Vessel</t>
  </si>
  <si>
    <t>Bundle</t>
  </si>
  <si>
    <t>SpecVersion</t>
  </si>
  <si>
    <t>TSMC Chemical lorry/Gas trailer Barcode二合一單</t>
  </si>
  <si>
    <t>RawLotId</t>
  </si>
  <si>
    <t>MaterialName</t>
  </si>
  <si>
    <t>Bulk_GHe_Bundle</t>
  </si>
  <si>
    <t>MaterialNo</t>
  </si>
  <si>
    <t>LB00070</t>
  </si>
  <si>
    <t>CoACompletionDate</t>
  </si>
  <si>
    <t>SupplierID</t>
  </si>
  <si>
    <t>Material Barcode</t>
  </si>
  <si>
    <t>SupplierName</t>
  </si>
  <si>
    <t>ALFE</t>
  </si>
  <si>
    <t>料號</t>
  </si>
  <si>
    <t>TSMCFab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</si>
  <si>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</si>
  <si>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</si>
  <si>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</si>
  <si>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</si>
  <si>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</si>
  <si>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</si>
  <si>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</si>
  <si>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</si>
  <si>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</si>
  <si>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CO2_ppb</t>
  </si>
  <si>
    <t>CO_ppb</t>
  </si>
  <si>
    <t>H2O_ppb</t>
  </si>
  <si>
    <t>H2_ppb</t>
  </si>
  <si>
    <t>N2_ppb</t>
  </si>
  <si>
    <t>O2_ppb</t>
  </si>
  <si>
    <t>Purity</t>
  </si>
  <si>
    <t>THC_as_CH4_ppb</t>
  </si>
  <si>
    <t>槽號</t>
  </si>
  <si>
    <t>28E026</t>
  </si>
  <si>
    <t>批號</t>
  </si>
  <si>
    <t>供應商</t>
  </si>
  <si>
    <t>廠別</t>
  </si>
  <si>
    <t>70F7</t>
  </si>
  <si>
    <t>Chemical lorry/Gas trailer CoA上傳資訊</t>
  </si>
  <si>
    <t>CoA 是否符合出貨規格 (SPEC) : ____ (Y/N)</t>
  </si>
  <si>
    <t>Chemical lorry/Gas trailer CoA上傳資訊裡的BatchID 是否與 出貨單相符: _____(Y/N)</t>
  </si>
  <si>
    <t>填表人 (supplier) :____________ ; 確認者 (supplier) : ____________</t>
  </si>
  <si>
    <t>保存年限：5年</t>
  </si>
  <si>
    <t>表單編號:W-QM-081_V09_F20 _1-1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</si>
</sst>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1">
    <font>
      <sz val="10.0"/>
      <color rgb="FF000000"/>
      <name val="Arial"/>
    </font>
    <font/>
    <font>
      <b/>
      <sz val="20.0"/>
      <color rgb="FF000000"/>
      <name val="Arial"/>
    </font>
    <font>
      <b/>
      <u/>
      <sz val="16.0"/>
      <color rgb="FF000000"/>
      <name val="Arial"/>
    </font>
    <font>
      <b/>
      <sz val="18.0"/>
    </font>
    <font>
      <sz val="48.0"/>
      <name val="Libre Barcode 39 Text"/>
    </font>
    <font>
      <b/>
      <name val="Arial"/>
    </font>
    <font>
      <name val="Arial"/>
    </font>
    <font>
      <sz val="12.0"/>
      <color rgb="FF000000"/>
      <name val="MingLiu"/>
    </font>
    <font>
      <b/>
      <sz val="14.0"/>
      <color rgb="FF000000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vertical="center"/>
    </xf>
    <xf quotePrefix="1" borderId="0" fillId="2" fontId="7" numFmtId="0" xfId="0" applyAlignment="1" applyFill="1" applyFont="1">
      <alignment horizontal="center" readingOrder="0" vertical="center"/>
    </xf>
    <xf borderId="0" fillId="3" fontId="7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0" fillId="0" fontId="9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7458075" cy="3609975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57275" cy="266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69.63"/>
    <col customWidth="1" min="3" max="3" width="15.0"/>
  </cols>
  <sheetData>
    <row r="1" ht="36.75" customHeight="1">
      <c r="C1" s="3"/>
    </row>
    <row r="2">
      <c r="A2" s="4" t="s">
        <v>17</v>
      </c>
    </row>
    <row r="3">
      <c r="C3" s="3"/>
    </row>
    <row r="4">
      <c r="A4" s="5" t="s">
        <v>25</v>
      </c>
      <c r="C4" s="3"/>
    </row>
    <row r="5" ht="78.75" customHeight="1">
      <c r="A5" s="6" t="s">
        <v>28</v>
      </c>
      <c r="B5" s="7" t="str">
        <f t="shared" ref="B5:B9" si="1">C5</f>
        <v>*4LB00070*</v>
      </c>
      <c r="C5" s="8" t="str">
        <f t="shared" ref="C5:C9" si="2">"*"&amp;E5&amp;"*"</f>
        <v>*4LB00070*</v>
      </c>
      <c r="D5" s="9" t="s">
        <v>22</v>
      </c>
      <c r="E5" s="10" t="str">
        <f>"4"&amp;D5</f>
        <v>4LB00070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78.75" customHeight="1">
      <c r="A6" s="6" t="s">
        <v>47</v>
      </c>
      <c r="B6" s="7" t="str">
        <f t="shared" si="1"/>
        <v>*528E026*</v>
      </c>
      <c r="C6" s="8" t="str">
        <f t="shared" si="2"/>
        <v>*528E026*</v>
      </c>
      <c r="D6" s="12" t="s">
        <v>48</v>
      </c>
      <c r="E6" s="10" t="str">
        <f>"5"&amp;D6</f>
        <v>528E026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78.75" customHeight="1">
      <c r="A7" s="6" t="s">
        <v>49</v>
      </c>
      <c r="B7" s="7" t="str">
        <f t="shared" si="1"/>
        <v>*628E026*</v>
      </c>
      <c r="C7" s="8" t="str">
        <f t="shared" si="2"/>
        <v>*628E026*</v>
      </c>
      <c r="D7" s="13" t="str">
        <f>D6</f>
        <v>28E026</v>
      </c>
      <c r="E7" s="10" t="str">
        <f>"6"&amp;D7</f>
        <v>628E026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78.75" customHeight="1">
      <c r="A8" s="6" t="s">
        <v>50</v>
      </c>
      <c r="B8" s="7" t="str">
        <f t="shared" si="1"/>
        <v>*322522453*</v>
      </c>
      <c r="C8" s="8" t="str">
        <f t="shared" si="2"/>
        <v>*322522453*</v>
      </c>
      <c r="D8" s="9">
        <v>2.2522453E7</v>
      </c>
      <c r="E8" s="10" t="str">
        <f>"3"&amp;D8</f>
        <v>322522453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78.75" customHeight="1">
      <c r="A9" s="6" t="s">
        <v>51</v>
      </c>
      <c r="B9" s="7" t="str">
        <f t="shared" si="1"/>
        <v>*E70F7*</v>
      </c>
      <c r="C9" s="8" t="str">
        <f t="shared" si="2"/>
        <v>*E70F7*</v>
      </c>
      <c r="D9" s="14" t="s">
        <v>52</v>
      </c>
      <c r="E9" s="15" t="str">
        <f>"E"&amp;D9</f>
        <v>E70F7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C10" s="3"/>
    </row>
    <row r="11">
      <c r="A11" s="5" t="s">
        <v>53</v>
      </c>
      <c r="C11" s="3"/>
    </row>
    <row r="12">
      <c r="A12" s="16"/>
      <c r="C12" s="3"/>
    </row>
    <row r="13">
      <c r="A13" s="16"/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 ht="31.5" customHeight="1">
      <c r="A33" s="17" t="s">
        <v>54</v>
      </c>
      <c r="B33" s="17"/>
      <c r="C33" s="3"/>
    </row>
    <row r="34" ht="33.0" customHeight="1">
      <c r="A34" s="17" t="s">
        <v>55</v>
      </c>
      <c r="B34" s="17"/>
      <c r="C34" s="3"/>
    </row>
    <row r="35" ht="38.25" customHeight="1">
      <c r="A35" s="17" t="s">
        <v>56</v>
      </c>
      <c r="C35" s="3"/>
    </row>
    <row r="36">
      <c r="A36" s="18" t="s">
        <v>57</v>
      </c>
      <c r="C36" s="19" t="s">
        <v>58</v>
      </c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  <row r="1001">
      <c r="C1001" s="3"/>
    </row>
    <row r="1002">
      <c r="C1002" s="3"/>
    </row>
  </sheetData>
  <mergeCells count="1">
    <mergeCell ref="A2:C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>
        <v>1.0</v>
      </c>
    </row>
    <row r="5">
      <c r="A5" s="1" t="s">
        <v>5</v>
      </c>
      <c r="B5" s="1" t="s">
        <v>6</v>
      </c>
    </row>
    <row r="6">
      <c r="A6" s="1" t="s">
        <v>7</v>
      </c>
      <c r="B6" s="2">
        <v>43724.0</v>
      </c>
    </row>
    <row r="7">
      <c r="A7" s="1" t="s">
        <v>8</v>
      </c>
      <c r="B7" s="2">
        <v>43728.0</v>
      </c>
    </row>
    <row r="8">
      <c r="A8" s="1" t="s">
        <v>9</v>
      </c>
      <c r="B8" s="1">
        <v>4.501316019E9</v>
      </c>
    </row>
    <row r="9">
      <c r="A9" s="1" t="s">
        <v>10</v>
      </c>
      <c r="B9" s="1" t="s">
        <v>11</v>
      </c>
    </row>
    <row r="10">
      <c r="A10" s="1" t="s">
        <v>12</v>
      </c>
      <c r="B10" s="1" t="s">
        <v>13</v>
      </c>
    </row>
    <row r="11">
      <c r="A11" s="1" t="s">
        <v>14</v>
      </c>
      <c r="B11" s="1" t="s">
        <v>15</v>
      </c>
    </row>
    <row r="12">
      <c r="A12" s="1" t="s">
        <v>16</v>
      </c>
      <c r="B12" s="1" t="s">
        <v>13</v>
      </c>
    </row>
    <row r="13">
      <c r="A13" s="1" t="s">
        <v>18</v>
      </c>
      <c r="B13" s="1" t="s">
        <v>11</v>
      </c>
    </row>
    <row r="14">
      <c r="A14" s="1" t="s">
        <v>19</v>
      </c>
      <c r="B14" s="1" t="s">
        <v>20</v>
      </c>
    </row>
    <row r="15">
      <c r="A15" s="1" t="s">
        <v>21</v>
      </c>
      <c r="B15" s="1" t="s">
        <v>22</v>
      </c>
    </row>
    <row r="16">
      <c r="A16" s="1" t="s">
        <v>23</v>
      </c>
      <c r="B16" s="2">
        <v>43724.0</v>
      </c>
    </row>
    <row r="17">
      <c r="A17" s="1" t="s">
        <v>24</v>
      </c>
      <c r="B17" s="1">
        <v>2.2522453E7</v>
      </c>
    </row>
    <row r="18">
      <c r="A18" s="1" t="s">
        <v>26</v>
      </c>
      <c r="B18" s="1" t="s">
        <v>27</v>
      </c>
    </row>
    <row r="19">
      <c r="A19" s="1" t="s">
        <v>29</v>
      </c>
      <c r="B19" s="1">
        <v>70.0</v>
      </c>
    </row>
    <row r="20">
      <c r="A20" s="1" t="s">
        <v>30</v>
      </c>
      <c r="B20" s="1" t="s">
        <v>31</v>
      </c>
    </row>
    <row r="23">
      <c r="A23" s="1" t="s">
        <v>32</v>
      </c>
      <c r="B23" s="1" t="s">
        <v>33</v>
      </c>
      <c r="C23" s="1" t="s">
        <v>34</v>
      </c>
      <c r="D23" s="1" t="s">
        <v>35</v>
      </c>
      <c r="E23" s="1" t="s">
        <v>36</v>
      </c>
      <c r="F23" s="1" t="s">
        <v>37</v>
      </c>
      <c r="G23" s="1" t="s">
        <v>31</v>
      </c>
      <c r="H23" s="1" t="s">
        <v>38</v>
      </c>
    </row>
    <row r="24">
      <c r="A24" s="1" t="s">
        <v>39</v>
      </c>
      <c r="G24" s="1">
        <v>26.0</v>
      </c>
    </row>
    <row r="25">
      <c r="A25" s="1" t="s">
        <v>40</v>
      </c>
      <c r="G25" s="1">
        <v>10.0</v>
      </c>
    </row>
    <row r="26">
      <c r="A26" s="1" t="s">
        <v>41</v>
      </c>
      <c r="G26" s="1">
        <v>163.0</v>
      </c>
    </row>
    <row r="27">
      <c r="A27" s="1" t="s">
        <v>42</v>
      </c>
      <c r="G27" s="1">
        <v>10.0</v>
      </c>
    </row>
    <row r="28">
      <c r="A28" s="1" t="s">
        <v>43</v>
      </c>
      <c r="G28" s="1">
        <v>319.0</v>
      </c>
    </row>
    <row r="29">
      <c r="A29" s="1" t="s">
        <v>44</v>
      </c>
      <c r="G29" s="1">
        <v>114.0</v>
      </c>
    </row>
    <row r="30">
      <c r="A30" s="1" t="s">
        <v>45</v>
      </c>
      <c r="G30" s="1">
        <v>99.999</v>
      </c>
    </row>
    <row r="31">
      <c r="A31" s="1" t="s">
        <v>46</v>
      </c>
      <c r="G31" s="1">
        <v>10.0</v>
      </c>
    </row>
    <row r="32">
      <c r="A32" s="1" t="s">
        <v>30</v>
      </c>
      <c r="B32" s="1" t="s">
        <v>31</v>
      </c>
    </row>
  </sheetData>
  <drawing r:id="rId1"/>
</worksheet>
</file>