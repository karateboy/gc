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01206E8A-57CD-4E0A-A570-4A9F8A167874}" xr6:coauthVersionLast="47" xr6:coauthVersionMax="47" xr10:uidLastSave="{00000000-0000-0000-0000-000000000000}"/>
  <bookViews>
    <workbookView xWindow="883" yWindow="3214" windowWidth="22226" windowHeight="14015" xr2:uid="{4198B4E1-1418-4A29-ADE6-A1279C9C478B}"/>
  </bookViews>
  <sheets>
    <sheet name="Sheet1" sheetId="1" r:id="rId1"/>
  </sheets>
  <definedNames>
    <definedName name="_xlnm.Print_Area" localSheetId="0">Sheet1!$A$1:$J$45</definedName>
  </definedNames>
  <calcPr calcId="191029"/>
</workbook>
</file>

<file path=xl/calcChain.xml><?xml version="1.0" encoding="utf-8"?>
<calcChain xmlns="http://schemas.openxmlformats.org/spreadsheetml/2006/main">
  <c r="Z3" i="1" l="1"/>
  <c r="Z4" i="1"/>
  <c r="X6" i="1"/>
  <c r="I15" i="1"/>
  <c r="O24" i="1"/>
  <c r="O25" i="1"/>
  <c r="X25" i="1"/>
  <c r="W25" i="1" s="1"/>
  <c r="AE25" i="1" s="1"/>
  <c r="O26" i="1"/>
  <c r="X26" i="1"/>
  <c r="W26" i="1" s="1"/>
  <c r="AE26" i="1" s="1"/>
  <c r="O27" i="1"/>
  <c r="X27" i="1"/>
  <c r="W27" i="1" s="1"/>
  <c r="AE27" i="1" s="1"/>
  <c r="O28" i="1"/>
  <c r="X28" i="1"/>
  <c r="W28" i="1" s="1"/>
  <c r="AE28" i="1" s="1"/>
  <c r="X29" i="1"/>
  <c r="W29" i="1" s="1"/>
  <c r="AE29" i="1" s="1"/>
  <c r="O30" i="1"/>
  <c r="X31" i="1"/>
  <c r="W31" i="1" s="1"/>
  <c r="AE31" i="1" s="1"/>
  <c r="O29" i="1" l="1"/>
  <c r="X30" i="1"/>
  <c r="W30" i="1" s="1"/>
  <c r="AE30" i="1" s="1"/>
</calcChain>
</file>

<file path=xl/sharedStrings.xml><?xml version="1.0" encoding="utf-8"?>
<sst xmlns="http://schemas.openxmlformats.org/spreadsheetml/2006/main" count="183" uniqueCount="117">
  <si>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</si>
  <si>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</si>
  <si>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</si>
  <si>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</si>
  <si>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</si>
  <si>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</si>
  <si>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</si>
  <si>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</si>
  <si>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</si>
  <si>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</si>
  <si>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</si>
  <si>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</si>
  <si>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</si>
  <si>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</si>
  <si>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</si>
  <si>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</si>
  <si>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</si>
  <si>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</si>
  <si>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</si>
  <si>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</si>
  <si>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</si>
  <si>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</si>
  <si>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</si>
  <si>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</si>
  <si>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</si>
  <si>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</si>
  <si>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</si>
  <si>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</si>
  <si>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</si>
  <si>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</si>
  <si>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</si>
  <si>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</si>
  <si>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</si>
  <si>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</si>
  <si>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</si>
  <si>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CH4</t>
    <phoneticPr fontId="3" type="noConversion"/>
  </si>
  <si>
    <t>99.999%</t>
    <phoneticPr fontId="3" type="noConversion"/>
  </si>
  <si>
    <t>&gt;99.999%</t>
    <phoneticPr fontId="3" type="noConversion"/>
  </si>
  <si>
    <t>ppb</t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</si>
  <si>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</si>
  <si>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t>&lt;100 ppb</t>
    <phoneticPr fontId="3" type="noConversion"/>
  </si>
  <si>
    <t>&lt;2500 ppb</t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</si>
  <si>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</si>
  <si>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</si>
  <si>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</si>
  <si>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</si>
  <si>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</si>
  <si>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</si>
  <si>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</si>
  <si>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</si>
  <si>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</si>
  <si>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</si>
  <si>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</si>
  <si>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&lt;5000 ppb</t>
    <phoneticPr fontId="3" type="noConversion"/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</si>
  <si>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-F7</t>
    </r>
    <phoneticPr fontId="3" type="noConversion"/>
  </si>
  <si>
    <t>Certified by Quality Manager of the</t>
    <phoneticPr fontId="3" type="noConversion"/>
  </si>
  <si>
    <t>Electronic Materials Center of Taiwan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</si>
  <si>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</si>
  <si>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</si>
  <si>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</si>
  <si>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</si>
  <si>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</si>
  <si>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SchemaName</t>
  </si>
  <si>
    <t>LB00070_GHe-bundle</t>
  </si>
  <si>
    <t>ManufacturingDate</t>
  </si>
  <si>
    <t>CoACompletionDate</t>
  </si>
  <si>
    <t>DeliverDate</t>
  </si>
  <si>
    <t>ContainerID</t>
  </si>
  <si>
    <t>RawLotId</t>
  </si>
  <si>
    <t>TSMCFab</t>
  </si>
  <si>
    <t>FabPhase</t>
  </si>
  <si>
    <t>F7</t>
  </si>
  <si>
    <t>PONo</t>
  </si>
  <si>
    <t>MaterialNo</t>
  </si>
  <si>
    <t>LB00070</t>
  </si>
  <si>
    <t>ShipQty</t>
  </si>
  <si>
    <t>Maker</t>
  </si>
  <si>
    <t>Taichung</t>
  </si>
  <si>
    <t>SpecNo</t>
  </si>
  <si>
    <t>NA</t>
  </si>
  <si>
    <t>Vessel</t>
  </si>
  <si>
    <t>Tube_Trailer</t>
  </si>
  <si>
    <t>SpecVersion</t>
  </si>
  <si>
    <t>MaterialName</t>
  </si>
  <si>
    <t>Bulk_GHe_Trailer</t>
  </si>
  <si>
    <t>SupplierID</t>
  </si>
  <si>
    <t>SupplierName</t>
  </si>
  <si>
    <t>ALFE</t>
  </si>
  <si>
    <t>SYMBOLIC</t>
  </si>
  <si>
    <t>VALUE</t>
  </si>
  <si>
    <t>Item</t>
  </si>
  <si>
    <t>N</t>
  </si>
  <si>
    <t>MEAN</t>
  </si>
  <si>
    <t>SD</t>
  </si>
  <si>
    <t>MAX</t>
  </si>
  <si>
    <t>MIN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</si>
  <si>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</si>
  <si>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</si>
  <si>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</si>
  <si>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</si>
  <si>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</si>
  <si>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</si>
  <si>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</si>
  <si>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</si>
  <si>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0070</t>
    <phoneticPr fontId="3" type="noConversion"/>
  </si>
  <si>
    <r>
      <t>去掉</t>
    </r>
    <r>
      <rPr>
        <sz val="12"/>
        <rFont val="Arial"/>
        <family val="2"/>
      </rPr>
      <t>-</t>
    </r>
  </si>
  <si>
    <r>
      <rPr>
        <sz val="9.5"/>
        <rFont val="細明體"/>
        <family val="3"/>
        <charset val="136"/>
      </rPr>
      <t>去掉</t>
    </r>
    <r>
      <rPr>
        <sz val="9.5"/>
        <rFont val="Times New Roman"/>
        <family val="1"/>
      </rPr>
      <t>&lt;</t>
    </r>
    <phoneticPr fontId="3" type="noConversion"/>
  </si>
  <si>
    <t>LB10070_Bulk_GHe_Trailer</t>
  </si>
  <si>
    <t>F12P3</t>
  </si>
  <si>
    <t>LB10070</t>
  </si>
  <si>
    <t>ALFE_GHe_trailer</t>
  </si>
  <si>
    <t>&lt;500 ppb</t>
    <phoneticPr fontId="3" type="noConversion"/>
  </si>
  <si>
    <t>tsmc 15</t>
    <phoneticPr fontId="3" type="noConversion"/>
  </si>
  <si>
    <t>EN-2109</t>
    <phoneticPr fontId="3" type="noConversion"/>
  </si>
  <si>
    <t>260819P04</t>
    <phoneticPr fontId="3" type="noConversion"/>
  </si>
  <si>
    <t>260819P04</t>
    <phoneticPr fontId="3" type="noConversion"/>
  </si>
  <si>
    <t>EN2109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</si>
</sst>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2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12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14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0" fontId="20" fillId="0" borderId="0" xfId="0" applyFont="1">
      <alignment vertical="center"/>
    </xf>
    <xf numFmtId="0" fontId="11" fillId="0" borderId="0" xfId="0" applyFont="1">
      <alignment vertical="center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7" fillId="0" borderId="0" xfId="0" quotePrefix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517071</xdr:colOff>
      <xdr:row>0</xdr:row>
      <xdr:rowOff>0</xdr:rowOff>
    </xdr:from>
    <xdr:to>
      <xdr:col>9</xdr:col>
      <xdr:colOff>925286</xdr:colOff>
      <xdr:row>1</xdr:row>
      <xdr:rowOff>658586</xdr:rowOff>
    </xdr:to>
    <xdr:pic>
      <xdr:nvPicPr>
        <xdr:cNvPr id="1163" name="Picture 1">
          <a:extLst>
            <a:ext uri="{FF2B5EF4-FFF2-40B4-BE49-F238E27FC236}">
              <a16:creationId xmlns:a16="http://schemas.microsoft.com/office/drawing/2014/main" id="{B3F85659-C619-DA41-A9C6-8F7A93D6B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3671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587829</xdr:colOff>
      <xdr:row>32</xdr:row>
      <xdr:rowOff>97971</xdr:rowOff>
    </xdr:from>
    <xdr:to>
      <xdr:col>15</xdr:col>
      <xdr:colOff>92529</xdr:colOff>
      <xdr:row>35</xdr:row>
      <xdr:rowOff>136071</xdr:rowOff>
    </xdr:to>
    <xdr:pic>
      <xdr:nvPicPr>
        <xdr:cNvPr id="1164" name="Picture 143">
          <a:extLst>
            <a:ext uri="{FF2B5EF4-FFF2-40B4-BE49-F238E27FC236}">
              <a16:creationId xmlns:a16="http://schemas.microsoft.com/office/drawing/2014/main" id="{C5AE9753-11CF-2DF0-6CAB-30DDF543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1486" y="7837714"/>
          <a:ext cx="1415143" cy="642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408214</xdr:colOff>
      <xdr:row>34</xdr:row>
      <xdr:rowOff>228600</xdr:rowOff>
    </xdr:from>
    <xdr:to>
      <xdr:col>14</xdr:col>
      <xdr:colOff>65314</xdr:colOff>
      <xdr:row>37</xdr:row>
      <xdr:rowOff>157843</xdr:rowOff>
    </xdr:to>
    <xdr:pic>
      <xdr:nvPicPr>
        <xdr:cNvPr id="1165" name="Picture 1">
          <a:extLst>
            <a:ext uri="{FF2B5EF4-FFF2-40B4-BE49-F238E27FC236}">
              <a16:creationId xmlns:a16="http://schemas.microsoft.com/office/drawing/2014/main" id="{4B9ACECA-1745-A47B-31AC-24DE30328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5057" y="8300357"/>
          <a:ext cx="1567543" cy="582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5443</xdr:colOff>
      <xdr:row>40</xdr:row>
      <xdr:rowOff>97971</xdr:rowOff>
    </xdr:from>
    <xdr:to>
      <xdr:col>15</xdr:col>
      <xdr:colOff>266700</xdr:colOff>
      <xdr:row>43</xdr:row>
      <xdr:rowOff>87086</xdr:rowOff>
    </xdr:to>
    <xdr:pic>
      <xdr:nvPicPr>
        <xdr:cNvPr id="1166" name="Picture 1">
          <a:extLst>
            <a:ext uri="{FF2B5EF4-FFF2-40B4-BE49-F238E27FC236}">
              <a16:creationId xmlns:a16="http://schemas.microsoft.com/office/drawing/2014/main" id="{46E99212-57C6-78B9-3FF3-4E4198532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5914" y="9394371"/>
          <a:ext cx="1534886" cy="560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179614</xdr:colOff>
      <xdr:row>36</xdr:row>
      <xdr:rowOff>125186</xdr:rowOff>
    </xdr:from>
    <xdr:to>
      <xdr:col>14</xdr:col>
      <xdr:colOff>408214</xdr:colOff>
      <xdr:row>40</xdr:row>
      <xdr:rowOff>97971</xdr:rowOff>
    </xdr:to>
    <xdr:pic>
      <xdr:nvPicPr>
        <xdr:cNvPr id="1167" name="Picture 5">
          <a:extLst>
            <a:ext uri="{FF2B5EF4-FFF2-40B4-BE49-F238E27FC236}">
              <a16:creationId xmlns:a16="http://schemas.microsoft.com/office/drawing/2014/main" id="{A51FB9DA-4AD4-3BF4-5C7E-8FC43724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632" b="32515"/>
        <a:stretch>
          <a:fillRect/>
        </a:stretch>
      </xdr:blipFill>
      <xdr:spPr bwMode="auto">
        <a:xfrm>
          <a:off x="8213271" y="8659586"/>
          <a:ext cx="1502229" cy="734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48986</xdr:colOff>
      <xdr:row>33</xdr:row>
      <xdr:rowOff>119743</xdr:rowOff>
    </xdr:from>
    <xdr:to>
      <xdr:col>9</xdr:col>
      <xdr:colOff>810986</xdr:colOff>
      <xdr:row>37</xdr:row>
      <xdr:rowOff>157843</xdr:rowOff>
    </xdr:to>
    <xdr:pic>
      <xdr:nvPicPr>
        <xdr:cNvPr id="1168" name="圖片 1">
          <a:extLst>
            <a:ext uri="{FF2B5EF4-FFF2-40B4-BE49-F238E27FC236}">
              <a16:creationId xmlns:a16="http://schemas.microsoft.com/office/drawing/2014/main" id="{57ED1E9F-549B-37D9-A144-6DA1B90A2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6029" y="8039100"/>
          <a:ext cx="1398814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313B-A573-436A-9801-64C4AB2D65D2}">
  <dimension ref="A1:AE46"/>
  <sheetViews>
    <sheetView tabSelected="1" zoomScaleSheetLayoutView="100" workbookViewId="0">
      <selection activeCell="E1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51"/>
    <col min="6" max="9" width="9" style="1"/>
    <col min="10" max="10" width="13.23046875" style="1" customWidth="1"/>
    <col min="11" max="17" width="9" style="1"/>
    <col min="18" max="18" width="11" style="1" customWidth="1"/>
    <col min="19" max="25" width="9" style="1"/>
    <col min="26" max="26" width="11.23046875" style="1" customWidth="1"/>
    <col min="27" max="30" width="9" style="1"/>
    <col min="31" max="31" width="9.4609375" style="1" bestFit="1" customWidth="1"/>
    <col min="32" max="16384" width="9" style="1"/>
  </cols>
  <sheetData>
    <row r="1" spans="1:31" ht="16.75">
      <c r="A1" s="1" t="s">
        <v>0</v>
      </c>
      <c r="Q1" t="s">
        <v>62</v>
      </c>
      <c r="R1" t="s">
        <v>63</v>
      </c>
      <c r="S1"/>
      <c r="T1"/>
      <c r="U1"/>
      <c r="V1"/>
      <c r="W1"/>
      <c r="Y1" t="s">
        <v>62</v>
      </c>
      <c r="Z1" t="s">
        <v>107</v>
      </c>
      <c r="AA1"/>
      <c r="AB1"/>
      <c r="AC1"/>
      <c r="AD1"/>
      <c r="AE1"/>
    </row>
    <row r="2" spans="1:31" ht="54" customHeight="1">
      <c r="Q2"/>
      <c r="R2"/>
      <c r="S2"/>
      <c r="T2"/>
      <c r="U2"/>
      <c r="V2"/>
      <c r="W2"/>
      <c r="Y2"/>
      <c r="Z2"/>
      <c r="AA2"/>
      <c r="AB2"/>
      <c r="AC2"/>
      <c r="AD2"/>
      <c r="AE2"/>
    </row>
    <row r="3" spans="1:31" ht="21.75" customHeight="1">
      <c r="A3" s="26"/>
      <c r="B3" s="26"/>
      <c r="C3" s="26"/>
      <c r="D3" s="26"/>
      <c r="H3" s="2" t="s">
        <v>1</v>
      </c>
      <c r="I3" s="2"/>
      <c r="J3" s="2"/>
      <c r="K3" s="2"/>
      <c r="Q3" t="s">
        <v>64</v>
      </c>
      <c r="R3" s="17">
        <v>46253</v>
      </c>
      <c r="S3"/>
      <c r="T3"/>
      <c r="U3"/>
      <c r="V3"/>
      <c r="W3"/>
      <c r="Y3" t="s">
        <v>64</v>
      </c>
      <c r="Z3" s="17">
        <f>R3</f>
        <v>46253</v>
      </c>
      <c r="AA3"/>
      <c r="AB3"/>
      <c r="AC3"/>
      <c r="AD3"/>
      <c r="AE3"/>
    </row>
    <row r="4" spans="1:31" ht="16.75">
      <c r="Q4" t="s">
        <v>65</v>
      </c>
      <c r="R4" s="17">
        <v>46253</v>
      </c>
      <c r="S4"/>
      <c r="T4"/>
      <c r="U4"/>
      <c r="V4"/>
      <c r="W4"/>
      <c r="Y4" t="s">
        <v>65</v>
      </c>
      <c r="Z4" s="17">
        <f>R4</f>
        <v>46253</v>
      </c>
    </row>
    <row r="5" spans="1:31" ht="40.5" customHeight="1">
      <c r="A5" s="30" t="s">
        <v>2</v>
      </c>
      <c r="B5" s="30"/>
      <c r="C5" s="30"/>
      <c r="D5" s="30"/>
      <c r="E5" s="30"/>
      <c r="F5" s="30"/>
      <c r="G5" s="30"/>
      <c r="H5" s="30"/>
      <c r="I5" s="30"/>
      <c r="J5" s="30"/>
      <c r="Q5" t="s">
        <v>66</v>
      </c>
      <c r="R5" s="19">
        <v>46258</v>
      </c>
      <c r="S5"/>
      <c r="T5"/>
      <c r="U5"/>
      <c r="V5"/>
      <c r="W5"/>
      <c r="X5" s="24" t="s">
        <v>105</v>
      </c>
      <c r="Y5" t="s">
        <v>66</v>
      </c>
      <c r="Z5" s="19">
        <v>46258</v>
      </c>
      <c r="AA5"/>
      <c r="AB5"/>
      <c r="AC5"/>
      <c r="AD5"/>
      <c r="AE5"/>
    </row>
    <row r="6" spans="1:31" ht="28.5" customHeight="1">
      <c r="A6" s="31" t="s">
        <v>54</v>
      </c>
      <c r="B6" s="31"/>
      <c r="C6" s="31"/>
      <c r="D6" s="31"/>
      <c r="E6" s="31"/>
      <c r="F6" s="31"/>
      <c r="G6" s="31"/>
      <c r="H6" s="31"/>
      <c r="I6" s="31"/>
      <c r="J6" s="31"/>
      <c r="Q6" t="s">
        <v>67</v>
      </c>
      <c r="R6" s="20" t="s">
        <v>116</v>
      </c>
      <c r="S6"/>
      <c r="T6"/>
      <c r="U6"/>
      <c r="V6"/>
      <c r="W6"/>
      <c r="X6" s="25" t="str">
        <f>SUBSTITUTE(R6,"-","")</f>
        <v>EN2109</v>
      </c>
      <c r="Y6" t="s">
        <v>67</v>
      </c>
      <c r="Z6" s="20" t="s">
        <v>116</v>
      </c>
      <c r="AA6"/>
      <c r="AB6"/>
      <c r="AC6"/>
      <c r="AD6"/>
      <c r="AE6"/>
    </row>
    <row r="7" spans="1:31" ht="16.75">
      <c r="A7" s="3" t="s">
        <v>33</v>
      </c>
      <c r="C7" s="37" t="s">
        <v>113</v>
      </c>
      <c r="D7" s="37"/>
      <c r="E7" s="37"/>
      <c r="F7" s="37"/>
      <c r="Q7" t="s">
        <v>68</v>
      </c>
      <c r="R7" s="21" t="s">
        <v>114</v>
      </c>
      <c r="S7"/>
      <c r="T7"/>
      <c r="U7"/>
      <c r="V7"/>
      <c r="W7"/>
      <c r="Y7" t="s">
        <v>68</v>
      </c>
      <c r="Z7" s="21" t="s">
        <v>114</v>
      </c>
      <c r="AA7"/>
      <c r="AB7"/>
      <c r="AC7"/>
      <c r="AD7"/>
      <c r="AE7"/>
    </row>
    <row r="8" spans="1:31" ht="16.75">
      <c r="A8" s="3" t="s">
        <v>3</v>
      </c>
      <c r="C8" s="38"/>
      <c r="D8" s="38"/>
      <c r="E8" s="38"/>
      <c r="F8" s="38"/>
      <c r="Q8" t="s">
        <v>69</v>
      </c>
      <c r="R8" s="18" t="s">
        <v>104</v>
      </c>
      <c r="S8"/>
      <c r="T8"/>
      <c r="U8"/>
      <c r="V8"/>
      <c r="W8"/>
      <c r="Y8" t="s">
        <v>69</v>
      </c>
      <c r="Z8">
        <v>1270</v>
      </c>
      <c r="AA8"/>
      <c r="AB8"/>
      <c r="AC8"/>
      <c r="AD8"/>
      <c r="AE8"/>
    </row>
    <row r="9" spans="1:31" ht="16.75">
      <c r="Q9" t="s">
        <v>70</v>
      </c>
      <c r="R9" t="s">
        <v>71</v>
      </c>
      <c r="S9"/>
      <c r="T9"/>
      <c r="U9"/>
      <c r="V9"/>
      <c r="W9"/>
      <c r="Y9" t="s">
        <v>70</v>
      </c>
      <c r="Z9" t="s">
        <v>108</v>
      </c>
      <c r="AA9"/>
      <c r="AB9"/>
      <c r="AC9"/>
      <c r="AD9"/>
      <c r="AE9"/>
    </row>
    <row r="10" spans="1:31" ht="16.75">
      <c r="A10" s="4" t="s">
        <v>4</v>
      </c>
      <c r="Q10" t="s">
        <v>72</v>
      </c>
      <c r="R10">
        <v>4501316019</v>
      </c>
      <c r="S10"/>
      <c r="T10"/>
      <c r="U10"/>
      <c r="V10"/>
      <c r="W10"/>
      <c r="Y10" t="s">
        <v>72</v>
      </c>
      <c r="Z10">
        <v>4501316019</v>
      </c>
      <c r="AA10"/>
      <c r="AB10"/>
      <c r="AC10"/>
      <c r="AD10"/>
      <c r="AE10"/>
    </row>
    <row r="11" spans="1:31" ht="16.75">
      <c r="A11" s="3" t="s">
        <v>26</v>
      </c>
      <c r="Q11" t="s">
        <v>73</v>
      </c>
      <c r="R11" t="s">
        <v>74</v>
      </c>
      <c r="S11"/>
      <c r="T11"/>
      <c r="U11"/>
      <c r="V11"/>
      <c r="W11"/>
      <c r="Y11" t="s">
        <v>73</v>
      </c>
      <c r="Z11" t="s">
        <v>109</v>
      </c>
      <c r="AA11"/>
      <c r="AB11"/>
      <c r="AC11"/>
      <c r="AD11"/>
      <c r="AE11"/>
    </row>
    <row r="12" spans="1:31" ht="25.3">
      <c r="A12" s="39" t="s">
        <v>50</v>
      </c>
      <c r="B12" s="39"/>
      <c r="C12" s="39"/>
      <c r="D12" s="39"/>
      <c r="E12" s="39"/>
      <c r="F12" s="39"/>
      <c r="G12" s="39"/>
      <c r="H12" s="39"/>
      <c r="I12" s="39"/>
      <c r="J12" s="39"/>
      <c r="Q12" t="s">
        <v>75</v>
      </c>
      <c r="R12">
        <v>1</v>
      </c>
      <c r="S12"/>
      <c r="T12"/>
      <c r="U12"/>
      <c r="V12"/>
      <c r="W12"/>
      <c r="Y12" t="s">
        <v>83</v>
      </c>
      <c r="Z12" t="s">
        <v>84</v>
      </c>
      <c r="AA12"/>
      <c r="AB12"/>
      <c r="AC12"/>
      <c r="AD12"/>
      <c r="AE12"/>
    </row>
    <row r="13" spans="1:31" ht="16.75">
      <c r="A13" s="3" t="s">
        <v>5</v>
      </c>
      <c r="Q13" t="s">
        <v>76</v>
      </c>
      <c r="R13" t="s">
        <v>77</v>
      </c>
      <c r="S13"/>
      <c r="T13"/>
      <c r="U13"/>
      <c r="V13"/>
      <c r="W13"/>
      <c r="Y13" t="s">
        <v>85</v>
      </c>
      <c r="Z13">
        <v>22522453</v>
      </c>
      <c r="AA13"/>
      <c r="AB13"/>
      <c r="AC13"/>
      <c r="AD13"/>
      <c r="AE13"/>
    </row>
    <row r="14" spans="1:31" ht="16.75">
      <c r="A14" s="5" t="s">
        <v>6</v>
      </c>
      <c r="B14" s="6"/>
      <c r="C14" s="6"/>
      <c r="D14" s="6"/>
      <c r="E14" s="52"/>
      <c r="F14" s="7" t="s">
        <v>7</v>
      </c>
      <c r="G14" s="7"/>
      <c r="H14" s="6"/>
      <c r="Q14" t="s">
        <v>78</v>
      </c>
      <c r="R14" t="s">
        <v>79</v>
      </c>
      <c r="S14"/>
      <c r="T14"/>
      <c r="U14"/>
      <c r="V14"/>
      <c r="W14"/>
      <c r="Y14" t="s">
        <v>86</v>
      </c>
      <c r="Z14" t="s">
        <v>87</v>
      </c>
      <c r="AA14"/>
      <c r="AB14"/>
      <c r="AC14"/>
      <c r="AD14"/>
      <c r="AE14"/>
    </row>
    <row r="15" spans="1:31" ht="16.75">
      <c r="A15" s="27" t="s">
        <v>34</v>
      </c>
      <c r="B15" s="27"/>
      <c r="C15" s="27"/>
      <c r="D15" s="27" t="s">
        <v>115</v>
      </c>
      <c r="E15" s="27"/>
      <c r="F15" s="27" t="s">
        <v>45</v>
      </c>
      <c r="G15" s="27"/>
      <c r="H15" s="27"/>
      <c r="I15" s="27" t="str">
        <f>C7</f>
        <v>EN-2109</v>
      </c>
      <c r="J15" s="27"/>
      <c r="Q15" t="s">
        <v>80</v>
      </c>
      <c r="R15" t="s">
        <v>81</v>
      </c>
      <c r="S15"/>
      <c r="T15"/>
      <c r="U15"/>
      <c r="V15"/>
      <c r="W15"/>
      <c r="Y15" t="s">
        <v>75</v>
      </c>
      <c r="Z15">
        <v>1</v>
      </c>
      <c r="AA15"/>
      <c r="AB15"/>
      <c r="AC15"/>
      <c r="AD15"/>
      <c r="AE15"/>
    </row>
    <row r="16" spans="1:31" ht="16.75">
      <c r="A16" s="27" t="s">
        <v>42</v>
      </c>
      <c r="B16" s="27"/>
      <c r="C16" s="27"/>
      <c r="D16" s="14" t="s">
        <v>39</v>
      </c>
      <c r="E16" s="53"/>
      <c r="F16" s="27" t="s">
        <v>46</v>
      </c>
      <c r="G16" s="27"/>
      <c r="H16" s="27"/>
      <c r="I16" s="36" t="s">
        <v>51</v>
      </c>
      <c r="J16" s="27"/>
      <c r="Q16" t="s">
        <v>82</v>
      </c>
      <c r="R16" t="s">
        <v>79</v>
      </c>
      <c r="S16"/>
      <c r="T16"/>
      <c r="U16"/>
      <c r="V16"/>
      <c r="W16"/>
      <c r="Y16" t="s">
        <v>76</v>
      </c>
      <c r="Z16" t="s">
        <v>110</v>
      </c>
      <c r="AA16"/>
      <c r="AB16"/>
      <c r="AC16"/>
      <c r="AD16"/>
      <c r="AE16"/>
    </row>
    <row r="17" spans="1:31" ht="16.75">
      <c r="A17" s="27" t="s">
        <v>43</v>
      </c>
      <c r="B17" s="27"/>
      <c r="C17" s="27"/>
      <c r="D17" s="29"/>
      <c r="E17" s="29"/>
      <c r="F17" s="27" t="s">
        <v>47</v>
      </c>
      <c r="G17" s="27"/>
      <c r="H17" s="27"/>
      <c r="I17" s="36" t="s">
        <v>51</v>
      </c>
      <c r="J17" s="27"/>
      <c r="Q17" t="s">
        <v>83</v>
      </c>
      <c r="R17" t="s">
        <v>84</v>
      </c>
      <c r="S17"/>
      <c r="T17"/>
      <c r="U17"/>
      <c r="V17"/>
      <c r="W17"/>
      <c r="Y17" t="s">
        <v>78</v>
      </c>
      <c r="Z17" t="s">
        <v>79</v>
      </c>
      <c r="AA17"/>
      <c r="AB17"/>
      <c r="AC17"/>
      <c r="AD17"/>
      <c r="AE17"/>
    </row>
    <row r="18" spans="1:31" ht="16.75">
      <c r="A18" s="27" t="s">
        <v>44</v>
      </c>
      <c r="B18" s="27"/>
      <c r="C18" s="27"/>
      <c r="D18" s="29"/>
      <c r="E18" s="29"/>
      <c r="F18" s="27" t="s">
        <v>48</v>
      </c>
      <c r="G18" s="27"/>
      <c r="H18" s="27"/>
      <c r="I18" s="40" t="s">
        <v>52</v>
      </c>
      <c r="J18" s="40"/>
      <c r="Q18" t="s">
        <v>85</v>
      </c>
      <c r="R18">
        <v>22522453</v>
      </c>
      <c r="S18"/>
      <c r="T18"/>
      <c r="U18"/>
      <c r="V18"/>
      <c r="W18"/>
      <c r="Y18" t="s">
        <v>80</v>
      </c>
      <c r="Z18" t="s">
        <v>81</v>
      </c>
      <c r="AA18"/>
      <c r="AB18"/>
      <c r="AC18"/>
      <c r="AD18"/>
      <c r="AE18"/>
    </row>
    <row r="19" spans="1:31" ht="16.75">
      <c r="A19" s="28"/>
      <c r="B19" s="28"/>
      <c r="C19" s="28"/>
      <c r="Q19" t="s">
        <v>86</v>
      </c>
      <c r="R19" t="s">
        <v>87</v>
      </c>
      <c r="S19"/>
      <c r="T19"/>
      <c r="U19"/>
      <c r="V19"/>
      <c r="W19"/>
      <c r="Y19" t="s">
        <v>82</v>
      </c>
      <c r="Z19" t="s">
        <v>79</v>
      </c>
      <c r="AA19"/>
      <c r="AB19"/>
      <c r="AC19"/>
      <c r="AD19"/>
      <c r="AE19"/>
    </row>
    <row r="20" spans="1:31" ht="16.75">
      <c r="A20" s="7" t="s">
        <v>8</v>
      </c>
      <c r="Q20" t="s">
        <v>88</v>
      </c>
      <c r="R20" t="s">
        <v>89</v>
      </c>
      <c r="S20"/>
      <c r="T20"/>
      <c r="U20"/>
      <c r="V20"/>
      <c r="W20"/>
      <c r="Y20" t="s">
        <v>88</v>
      </c>
      <c r="Z20" t="s">
        <v>89</v>
      </c>
      <c r="AA20"/>
      <c r="AB20"/>
      <c r="AC20"/>
      <c r="AD20"/>
      <c r="AE20"/>
    </row>
    <row r="21" spans="1:31" ht="8.25" customHeight="1">
      <c r="Q21"/>
      <c r="R21"/>
      <c r="S21"/>
      <c r="T21"/>
      <c r="U21"/>
      <c r="V21"/>
      <c r="W21"/>
      <c r="Y21"/>
      <c r="Z21"/>
      <c r="AA21"/>
      <c r="AB21"/>
      <c r="AC21"/>
      <c r="AD21"/>
      <c r="AE21"/>
    </row>
    <row r="22" spans="1:31" s="6" customFormat="1" ht="16.75" customHeight="1">
      <c r="A22" s="34" t="s">
        <v>9</v>
      </c>
      <c r="B22" s="34"/>
      <c r="C22" s="34" t="s">
        <v>10</v>
      </c>
      <c r="D22" s="34"/>
      <c r="E22" s="34" t="s">
        <v>11</v>
      </c>
      <c r="F22" s="34"/>
      <c r="G22" s="34" t="s">
        <v>12</v>
      </c>
      <c r="H22" s="34"/>
      <c r="I22" s="35" t="s">
        <v>13</v>
      </c>
      <c r="J22" s="35"/>
      <c r="Q22"/>
      <c r="R22"/>
      <c r="S22"/>
      <c r="T22"/>
      <c r="U22"/>
      <c r="V22"/>
      <c r="W22"/>
      <c r="Y22"/>
      <c r="Z22"/>
      <c r="AA22"/>
      <c r="AB22"/>
      <c r="AC22"/>
      <c r="AD22"/>
      <c r="AE22"/>
    </row>
    <row r="23" spans="1:31" s="9" customFormat="1" ht="16.75" customHeight="1">
      <c r="A23" s="43" t="s">
        <v>27</v>
      </c>
      <c r="B23" s="43"/>
      <c r="C23" s="33" t="s">
        <v>36</v>
      </c>
      <c r="D23" s="33"/>
      <c r="E23" s="33" t="s">
        <v>37</v>
      </c>
      <c r="F23" s="33"/>
      <c r="G23" s="41" t="s">
        <v>15</v>
      </c>
      <c r="H23" s="41"/>
      <c r="I23" s="41"/>
      <c r="J23" s="41"/>
      <c r="N23" s="9" t="s">
        <v>112</v>
      </c>
      <c r="Q23" t="s">
        <v>90</v>
      </c>
      <c r="R23" t="s">
        <v>91</v>
      </c>
      <c r="S23" t="s">
        <v>92</v>
      </c>
      <c r="T23" t="s">
        <v>93</v>
      </c>
      <c r="U23" t="s">
        <v>94</v>
      </c>
      <c r="V23" t="s">
        <v>95</v>
      </c>
      <c r="W23" t="s">
        <v>89</v>
      </c>
      <c r="X23" s="9" t="s">
        <v>106</v>
      </c>
      <c r="Y23" t="s">
        <v>90</v>
      </c>
      <c r="Z23" t="s">
        <v>91</v>
      </c>
      <c r="AA23" t="s">
        <v>92</v>
      </c>
      <c r="AB23" t="s">
        <v>93</v>
      </c>
      <c r="AC23" t="s">
        <v>94</v>
      </c>
      <c r="AD23" t="s">
        <v>95</v>
      </c>
      <c r="AE23" t="s">
        <v>89</v>
      </c>
    </row>
    <row r="24" spans="1:31" s="9" customFormat="1" ht="16.75" customHeight="1">
      <c r="A24" s="42" t="s">
        <v>28</v>
      </c>
      <c r="B24" s="42"/>
      <c r="C24" s="32" t="s">
        <v>111</v>
      </c>
      <c r="D24" s="32"/>
      <c r="E24" s="54"/>
      <c r="F24" s="15" t="s">
        <v>38</v>
      </c>
      <c r="G24" s="32" t="s">
        <v>24</v>
      </c>
      <c r="H24" s="32"/>
      <c r="I24" s="32" t="s">
        <v>31</v>
      </c>
      <c r="J24" s="32"/>
      <c r="M24" s="16"/>
      <c r="N24" s="9">
        <v>10</v>
      </c>
      <c r="O24" s="9" t="e">
        <f>IF(VALUE(SUBSTITUTE(E24, "&lt;", "")) &gt; N24, "NG", "OK")</f>
        <v>#VALUE!</v>
      </c>
      <c r="Q24" t="s">
        <v>96</v>
      </c>
      <c r="R24"/>
      <c r="S24"/>
      <c r="T24"/>
      <c r="U24"/>
      <c r="V24"/>
      <c r="W24">
        <v>99.998999999999995</v>
      </c>
      <c r="Y24" t="s">
        <v>96</v>
      </c>
      <c r="Z24"/>
      <c r="AA24"/>
      <c r="AB24"/>
      <c r="AC24"/>
      <c r="AD24"/>
      <c r="AE24">
        <v>99.998999999999995</v>
      </c>
    </row>
    <row r="25" spans="1:31" s="9" customFormat="1" ht="16.75" customHeight="1">
      <c r="A25" s="43" t="s">
        <v>20</v>
      </c>
      <c r="B25" s="43"/>
      <c r="C25" s="32" t="s">
        <v>53</v>
      </c>
      <c r="D25" s="32"/>
      <c r="E25" s="54"/>
      <c r="F25" s="15" t="s">
        <v>38</v>
      </c>
      <c r="G25" s="32" t="s">
        <v>24</v>
      </c>
      <c r="H25" s="32"/>
      <c r="I25" s="32" t="s">
        <v>31</v>
      </c>
      <c r="J25" s="32"/>
      <c r="M25" s="16"/>
      <c r="N25" s="9">
        <v>365</v>
      </c>
      <c r="O25" s="9" t="e">
        <f t="shared" ref="O25:O30" si="0">IF(VALUE(SUBSTITUTE(E25, "&lt;", "")) &gt; N25, "NG", "OK")</f>
        <v>#VALUE!</v>
      </c>
      <c r="Q25" t="s">
        <v>97</v>
      </c>
      <c r="R25"/>
      <c r="S25"/>
      <c r="T25"/>
      <c r="U25"/>
      <c r="V25"/>
      <c r="W25" s="22" t="e">
        <f>ROUND(X25,1)</f>
        <v>#VALUE!</v>
      </c>
      <c r="X25" s="23" t="str">
        <f>SUBSTITUTE(E24,"&lt;","")</f>
        <v/>
      </c>
      <c r="Y25" t="s">
        <v>97</v>
      </c>
      <c r="Z25"/>
      <c r="AA25"/>
      <c r="AB25"/>
      <c r="AC25"/>
      <c r="AD25"/>
      <c r="AE25" s="22" t="e">
        <f>W25</f>
        <v>#VALUE!</v>
      </c>
    </row>
    <row r="26" spans="1:31" s="9" customFormat="1" ht="16.75" customHeight="1">
      <c r="A26" s="43" t="s">
        <v>21</v>
      </c>
      <c r="B26" s="43"/>
      <c r="C26" s="32" t="s">
        <v>40</v>
      </c>
      <c r="D26" s="32"/>
      <c r="E26" s="54"/>
      <c r="F26" s="15" t="s">
        <v>38</v>
      </c>
      <c r="G26" s="32" t="s">
        <v>25</v>
      </c>
      <c r="H26" s="32"/>
      <c r="I26" s="32" t="s">
        <v>31</v>
      </c>
      <c r="J26" s="32"/>
      <c r="M26" s="16"/>
      <c r="N26" s="9">
        <v>10</v>
      </c>
      <c r="O26" s="9" t="e">
        <f t="shared" si="0"/>
        <v>#VALUE!</v>
      </c>
      <c r="Q26" t="s">
        <v>98</v>
      </c>
      <c r="R26"/>
      <c r="S26"/>
      <c r="T26"/>
      <c r="U26"/>
      <c r="V26"/>
      <c r="W26" s="22" t="e">
        <f t="shared" ref="W26:W31" si="1">ROUND(X26,1)</f>
        <v>#VALUE!</v>
      </c>
      <c r="X26" s="23" t="str">
        <f t="shared" ref="X26:X31" si="2">SUBSTITUTE(E25,"&lt;","")</f>
        <v/>
      </c>
      <c r="Y26" t="s">
        <v>98</v>
      </c>
      <c r="Z26"/>
      <c r="AA26"/>
      <c r="AB26"/>
      <c r="AC26"/>
      <c r="AD26"/>
      <c r="AE26" s="22" t="e">
        <f t="shared" ref="AE26:AE31" si="3">W26</f>
        <v>#VALUE!</v>
      </c>
    </row>
    <row r="27" spans="1:31" s="9" customFormat="1" ht="16.75" customHeight="1">
      <c r="A27" s="43" t="s">
        <v>22</v>
      </c>
      <c r="B27" s="43"/>
      <c r="C27" s="32" t="s">
        <v>40</v>
      </c>
      <c r="D27" s="32"/>
      <c r="E27" s="54"/>
      <c r="F27" s="15" t="s">
        <v>38</v>
      </c>
      <c r="G27" s="32" t="s">
        <v>32</v>
      </c>
      <c r="H27" s="32"/>
      <c r="I27" s="32" t="s">
        <v>31</v>
      </c>
      <c r="J27" s="32"/>
      <c r="M27" s="16"/>
      <c r="N27" s="9">
        <v>40</v>
      </c>
      <c r="O27" s="9" t="e">
        <f t="shared" si="0"/>
        <v>#VALUE!</v>
      </c>
      <c r="Q27" t="s">
        <v>99</v>
      </c>
      <c r="R27"/>
      <c r="S27"/>
      <c r="T27"/>
      <c r="U27"/>
      <c r="V27"/>
      <c r="W27" s="22" t="e">
        <f t="shared" si="1"/>
        <v>#VALUE!</v>
      </c>
      <c r="X27" s="23" t="str">
        <f t="shared" si="2"/>
        <v/>
      </c>
      <c r="Y27" t="s">
        <v>99</v>
      </c>
      <c r="Z27"/>
      <c r="AA27"/>
      <c r="AB27"/>
      <c r="AC27"/>
      <c r="AD27"/>
      <c r="AE27" s="22" t="e">
        <f t="shared" si="3"/>
        <v>#VALUE!</v>
      </c>
    </row>
    <row r="28" spans="1:31" s="9" customFormat="1" ht="16.75" customHeight="1">
      <c r="A28" s="10" t="s">
        <v>35</v>
      </c>
      <c r="B28" s="10"/>
      <c r="C28" s="41" t="s">
        <v>40</v>
      </c>
      <c r="D28" s="41"/>
      <c r="E28" s="54"/>
      <c r="F28" s="15" t="s">
        <v>38</v>
      </c>
      <c r="G28" s="32" t="s">
        <v>24</v>
      </c>
      <c r="H28" s="32"/>
      <c r="I28" s="32" t="s">
        <v>31</v>
      </c>
      <c r="J28" s="32"/>
      <c r="M28" s="16"/>
      <c r="N28" s="9">
        <v>10</v>
      </c>
      <c r="O28" s="9" t="e">
        <f t="shared" si="0"/>
        <v>#VALUE!</v>
      </c>
      <c r="Q28" t="s">
        <v>100</v>
      </c>
      <c r="R28"/>
      <c r="S28"/>
      <c r="T28"/>
      <c r="U28"/>
      <c r="V28"/>
      <c r="W28" s="22" t="e">
        <f t="shared" si="1"/>
        <v>#VALUE!</v>
      </c>
      <c r="X28" s="23" t="str">
        <f t="shared" si="2"/>
        <v/>
      </c>
      <c r="Y28" t="s">
        <v>100</v>
      </c>
      <c r="Z28"/>
      <c r="AA28"/>
      <c r="AB28"/>
      <c r="AC28"/>
      <c r="AD28"/>
      <c r="AE28" s="22" t="e">
        <f t="shared" si="3"/>
        <v>#VALUE!</v>
      </c>
    </row>
    <row r="29" spans="1:31" s="9" customFormat="1" ht="16.75" customHeight="1">
      <c r="A29" s="10" t="s">
        <v>29</v>
      </c>
      <c r="B29" s="10"/>
      <c r="C29" s="32" t="s">
        <v>40</v>
      </c>
      <c r="D29" s="32"/>
      <c r="E29" s="55"/>
      <c r="F29" s="15" t="s">
        <v>38</v>
      </c>
      <c r="G29" s="41" t="s">
        <v>30</v>
      </c>
      <c r="H29" s="41"/>
      <c r="I29" s="32" t="s">
        <v>31</v>
      </c>
      <c r="J29" s="32"/>
      <c r="M29" s="16">
        <v>1.4E-2</v>
      </c>
      <c r="N29" s="9">
        <v>99</v>
      </c>
      <c r="O29" s="9" t="e">
        <f t="shared" si="0"/>
        <v>#VALUE!</v>
      </c>
      <c r="Q29" t="s">
        <v>101</v>
      </c>
      <c r="R29"/>
      <c r="S29"/>
      <c r="T29"/>
      <c r="U29"/>
      <c r="V29"/>
      <c r="W29" s="22" t="e">
        <f t="shared" si="1"/>
        <v>#VALUE!</v>
      </c>
      <c r="X29" s="23" t="str">
        <f t="shared" si="2"/>
        <v/>
      </c>
      <c r="Y29" t="s">
        <v>101</v>
      </c>
      <c r="Z29"/>
      <c r="AA29"/>
      <c r="AB29"/>
      <c r="AC29"/>
      <c r="AD29"/>
      <c r="AE29" s="22" t="e">
        <f t="shared" si="3"/>
        <v>#VALUE!</v>
      </c>
    </row>
    <row r="30" spans="1:31" s="9" customFormat="1" ht="16.75" customHeight="1">
      <c r="A30" s="43" t="s">
        <v>23</v>
      </c>
      <c r="B30" s="43"/>
      <c r="C30" s="41" t="s">
        <v>41</v>
      </c>
      <c r="D30" s="41"/>
      <c r="E30" s="55"/>
      <c r="F30" s="15" t="s">
        <v>38</v>
      </c>
      <c r="G30" s="41" t="s">
        <v>14</v>
      </c>
      <c r="H30" s="41"/>
      <c r="I30" s="32" t="s">
        <v>31</v>
      </c>
      <c r="J30" s="32"/>
      <c r="M30" s="16">
        <v>0.16300000000000001</v>
      </c>
      <c r="N30" s="9">
        <v>169</v>
      </c>
      <c r="O30" s="9" t="e">
        <f t="shared" si="0"/>
        <v>#VALUE!</v>
      </c>
      <c r="Q30" t="s">
        <v>102</v>
      </c>
      <c r="R30"/>
      <c r="S30"/>
      <c r="T30"/>
      <c r="U30"/>
      <c r="V30"/>
      <c r="W30" s="22" t="e">
        <f t="shared" si="1"/>
        <v>#VALUE!</v>
      </c>
      <c r="X30" s="23" t="str">
        <f t="shared" si="2"/>
        <v/>
      </c>
      <c r="Y30" t="s">
        <v>102</v>
      </c>
      <c r="Z30"/>
      <c r="AA30"/>
      <c r="AB30"/>
      <c r="AC30"/>
      <c r="AD30"/>
      <c r="AE30" s="22" t="e">
        <f t="shared" si="3"/>
        <v>#VALUE!</v>
      </c>
    </row>
    <row r="31" spans="1:31" s="6" customFormat="1" ht="16.75">
      <c r="E31" s="52"/>
      <c r="Q31" t="s">
        <v>103</v>
      </c>
      <c r="R31"/>
      <c r="S31"/>
      <c r="T31"/>
      <c r="U31"/>
      <c r="V31"/>
      <c r="W31" s="22" t="e">
        <f t="shared" si="1"/>
        <v>#VALUE!</v>
      </c>
      <c r="X31" s="23" t="str">
        <f t="shared" si="2"/>
        <v/>
      </c>
      <c r="Y31" t="s">
        <v>103</v>
      </c>
      <c r="Z31"/>
      <c r="AA31"/>
      <c r="AB31"/>
      <c r="AC31"/>
      <c r="AD31"/>
      <c r="AE31" s="22" t="e">
        <f t="shared" si="3"/>
        <v>#VALUE!</v>
      </c>
    </row>
    <row r="32" spans="1:31" s="6" customFormat="1" ht="14.25" customHeight="1">
      <c r="A32" s="3" t="s">
        <v>16</v>
      </c>
      <c r="E32" s="52"/>
      <c r="G32" s="11"/>
      <c r="H32" s="48" t="s">
        <v>55</v>
      </c>
      <c r="I32" s="48"/>
      <c r="J32" s="48"/>
      <c r="Q32" t="s">
        <v>88</v>
      </c>
      <c r="R32" t="s">
        <v>89</v>
      </c>
      <c r="Y32" t="s">
        <v>88</v>
      </c>
      <c r="Z32" t="s">
        <v>89</v>
      </c>
      <c r="AA32"/>
      <c r="AB32"/>
      <c r="AC32"/>
      <c r="AD32"/>
      <c r="AE32"/>
    </row>
    <row r="33" spans="1:10" s="6" customFormat="1" ht="14.25" customHeight="1">
      <c r="A33" s="3" t="s">
        <v>17</v>
      </c>
      <c r="E33" s="52"/>
      <c r="G33" s="11"/>
      <c r="H33" s="48" t="s">
        <v>56</v>
      </c>
      <c r="I33" s="48"/>
      <c r="J33" s="48"/>
    </row>
    <row r="34" spans="1:10" s="6" customFormat="1" ht="12">
      <c r="E34" s="52"/>
      <c r="H34" s="49"/>
      <c r="I34" s="49"/>
      <c r="J34" s="49"/>
    </row>
    <row r="35" spans="1:10" s="6" customFormat="1" ht="21.75" customHeight="1">
      <c r="A35" s="47"/>
      <c r="B35" s="47"/>
      <c r="C35" s="47"/>
      <c r="D35" s="47"/>
      <c r="E35" s="47"/>
      <c r="F35" s="47"/>
      <c r="H35" s="48" t="s">
        <v>57</v>
      </c>
      <c r="I35" s="48"/>
      <c r="J35" s="48"/>
    </row>
    <row r="36" spans="1:10">
      <c r="A36" s="47"/>
      <c r="B36" s="47"/>
      <c r="C36" s="47"/>
      <c r="D36" s="47"/>
      <c r="E36" s="47"/>
      <c r="F36" s="47"/>
      <c r="H36" s="49"/>
      <c r="I36" s="49"/>
      <c r="J36" s="49"/>
    </row>
    <row r="37" spans="1:10">
      <c r="A37" s="6"/>
      <c r="H37" s="27" t="s">
        <v>18</v>
      </c>
      <c r="I37" s="27"/>
      <c r="J37" s="27"/>
    </row>
    <row r="38" spans="1:10">
      <c r="H38" s="50"/>
      <c r="I38" s="50"/>
      <c r="J38" s="50"/>
    </row>
    <row r="39" spans="1:10">
      <c r="H39" s="27"/>
      <c r="I39" s="27"/>
      <c r="J39" s="27"/>
    </row>
    <row r="40" spans="1:10">
      <c r="H40" s="8" t="s">
        <v>49</v>
      </c>
      <c r="I40" s="44">
        <v>46258</v>
      </c>
      <c r="J40" s="27"/>
    </row>
    <row r="41" spans="1:10">
      <c r="A41" s="27" t="s">
        <v>19</v>
      </c>
      <c r="B41" s="27"/>
      <c r="C41" s="27"/>
      <c r="D41" s="27"/>
      <c r="E41" s="27"/>
      <c r="F41" s="27"/>
      <c r="G41" s="27"/>
      <c r="H41" s="27"/>
      <c r="I41" s="27"/>
      <c r="J41" s="27"/>
    </row>
    <row r="42" spans="1:10">
      <c r="A42" s="45" t="s">
        <v>58</v>
      </c>
      <c r="B42" s="45"/>
      <c r="C42" s="45"/>
      <c r="D42" s="45"/>
      <c r="E42" s="45"/>
      <c r="F42" s="45"/>
      <c r="G42" s="45"/>
      <c r="H42" s="45"/>
      <c r="I42" s="45"/>
      <c r="J42" s="45"/>
    </row>
    <row r="43" spans="1:10">
      <c r="A43" s="46" t="s">
        <v>59</v>
      </c>
      <c r="B43" s="46"/>
      <c r="C43" s="46"/>
      <c r="D43" s="46"/>
      <c r="E43" s="46"/>
      <c r="F43" s="46"/>
      <c r="G43" s="46"/>
      <c r="H43" s="46"/>
      <c r="I43" s="46"/>
      <c r="J43" s="46"/>
    </row>
    <row r="44" spans="1:10">
      <c r="A44" s="27" t="s">
        <v>60</v>
      </c>
      <c r="B44" s="27"/>
      <c r="C44" s="27"/>
      <c r="D44" s="27"/>
      <c r="E44" s="27"/>
      <c r="F44" s="27"/>
      <c r="G44" s="27"/>
      <c r="H44" s="27"/>
      <c r="I44" s="27"/>
      <c r="J44" s="27"/>
    </row>
    <row r="45" spans="1:10">
      <c r="B45" s="12"/>
      <c r="C45" s="12"/>
      <c r="D45" s="12"/>
      <c r="E45" s="56"/>
      <c r="F45" s="12"/>
      <c r="G45" s="12"/>
      <c r="H45" s="13" t="s">
        <v>61</v>
      </c>
      <c r="I45" s="12"/>
      <c r="J45" s="12"/>
    </row>
    <row r="46" spans="1:10">
      <c r="A46" s="6"/>
      <c r="B46" s="6"/>
      <c r="C46" s="6"/>
      <c r="D46" s="6"/>
      <c r="E46" s="52"/>
      <c r="F46" s="6"/>
      <c r="I46" s="6"/>
      <c r="J46" s="6"/>
    </row>
  </sheetData>
  <mergeCells count="72">
    <mergeCell ref="I23:J23"/>
    <mergeCell ref="G23:H23"/>
    <mergeCell ref="H32:J32"/>
    <mergeCell ref="H33:J33"/>
    <mergeCell ref="I24:J24"/>
    <mergeCell ref="I25:J25"/>
    <mergeCell ref="I26:J26"/>
    <mergeCell ref="G27:H27"/>
    <mergeCell ref="G30:H30"/>
    <mergeCell ref="G26:H26"/>
    <mergeCell ref="I27:J27"/>
    <mergeCell ref="A41:J41"/>
    <mergeCell ref="I30:J30"/>
    <mergeCell ref="I29:J29"/>
    <mergeCell ref="H37:J37"/>
    <mergeCell ref="C30:D30"/>
    <mergeCell ref="H38:J38"/>
    <mergeCell ref="A26:B26"/>
    <mergeCell ref="I40:J40"/>
    <mergeCell ref="A42:J42"/>
    <mergeCell ref="A44:J44"/>
    <mergeCell ref="A43:J43"/>
    <mergeCell ref="G29:H29"/>
    <mergeCell ref="I28:J28"/>
    <mergeCell ref="A35:F36"/>
    <mergeCell ref="H35:J35"/>
    <mergeCell ref="H36:J36"/>
    <mergeCell ref="H34:J34"/>
    <mergeCell ref="A30:B30"/>
    <mergeCell ref="C29:D29"/>
    <mergeCell ref="A27:B27"/>
    <mergeCell ref="C27:D27"/>
    <mergeCell ref="H39:J39"/>
    <mergeCell ref="F16:H16"/>
    <mergeCell ref="F17:H17"/>
    <mergeCell ref="F18:H18"/>
    <mergeCell ref="A16:C16"/>
    <mergeCell ref="G22:H22"/>
    <mergeCell ref="A22:B22"/>
    <mergeCell ref="C22:D22"/>
    <mergeCell ref="G28:H28"/>
    <mergeCell ref="E23:F23"/>
    <mergeCell ref="E22:F22"/>
    <mergeCell ref="I22:J22"/>
    <mergeCell ref="A18:C18"/>
    <mergeCell ref="I18:J18"/>
    <mergeCell ref="G24:H24"/>
    <mergeCell ref="G25:H25"/>
    <mergeCell ref="C23:D23"/>
    <mergeCell ref="C24:D24"/>
    <mergeCell ref="C25:D25"/>
    <mergeCell ref="C26:D26"/>
    <mergeCell ref="C28:D28"/>
    <mergeCell ref="A24:B24"/>
    <mergeCell ref="A25:B25"/>
    <mergeCell ref="A23:B23"/>
    <mergeCell ref="A3:D3"/>
    <mergeCell ref="A15:C15"/>
    <mergeCell ref="F15:H15"/>
    <mergeCell ref="A19:C19"/>
    <mergeCell ref="D17:E17"/>
    <mergeCell ref="D18:E18"/>
    <mergeCell ref="A17:C17"/>
    <mergeCell ref="A5:J5"/>
    <mergeCell ref="A6:J6"/>
    <mergeCell ref="D15:E15"/>
    <mergeCell ref="I16:J16"/>
    <mergeCell ref="I17:J17"/>
    <mergeCell ref="C7:F7"/>
    <mergeCell ref="I15:J15"/>
    <mergeCell ref="C8:F8"/>
    <mergeCell ref="A12:J12"/>
  </mergeCells>
  <phoneticPr fontId="3" type="noConversion"/>
  <conditionalFormatting sqref="O24:O30">
    <cfRule type="cellIs" dxfId="2" priority="1" stopIfTrue="1" operator="equal">
      <formula>"NG"</formula>
    </cfRule>
    <cfRule type="cellIs" dxfId="1" priority="2" stopIfTrue="1" operator="greaterThan">
      <formula>"NG"</formula>
    </cfRule>
    <cfRule type="cellIs" dxfId="0" priority="3" stopIfTrue="1" operator="equal">
      <formula>"NG"</formula>
    </cfRule>
  </conditionalFormatting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2026-08-21T05:39:03Z</cp:lastPrinted>
  <dcterms:created xsi:type="dcterms:W3CDTF">2007-05-03T09:09:13Z</dcterms:created>
  <dcterms:modified xsi:type="dcterms:W3CDTF">2026-10-11T05:38:54Z</dcterms:modified>
</cp:coreProperties>
</file>