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code 二合一單" sheetId="1" r:id="rId4"/>
    <sheet state="visible" name="LB10070_Bulk_GHe_Trailer_Fab12P" sheetId="2" r:id="rId5"/>
  </sheets>
  <definedNames/>
  <calcPr/>
</workbook>
</file>

<file path=xl/sharedStrings.xml><?xml version="1.0" encoding="utf-8"?>
<sst xmlns="http://schemas.openxmlformats.org/spreadsheetml/2006/main" count="64" uniqueCount="57">
  <si>
    <t>SchemaName</t>
  </si>
  <si>
    <t>LB10070_Bulk_GHe_Trailer</t>
  </si>
  <si>
    <t>MaterialNo</t>
  </si>
  <si>
    <t>LB10070</t>
  </si>
  <si>
    <t>MaterialName</t>
  </si>
  <si>
    <t>Bulk_GHe_Trailer</t>
  </si>
  <si>
    <t>SupplierID</t>
  </si>
  <si>
    <t>SupplierName</t>
  </si>
  <si>
    <t>ALFE</t>
  </si>
  <si>
    <t>TSMCFab</t>
  </si>
  <si>
    <t>FabPhase</t>
  </si>
  <si>
    <t>F12P3</t>
  </si>
  <si>
    <t>ShipQty</t>
  </si>
  <si>
    <t>Maker</t>
  </si>
  <si>
    <t>ALFE_GHe_trailer</t>
  </si>
  <si>
    <t>ManufacturingDate</t>
  </si>
  <si>
    <t>DeliverDate</t>
  </si>
  <si>
    <t>PONo</t>
  </si>
  <si>
    <t>ContainerID</t>
  </si>
  <si>
    <t>CP0702</t>
  </si>
  <si>
    <t>SpecNo</t>
  </si>
  <si>
    <t>NA</t>
  </si>
  <si>
    <t>Vessel</t>
  </si>
  <si>
    <t>Tube_Trailer</t>
  </si>
  <si>
    <t>SpecVersion</t>
  </si>
  <si>
    <t>RawLotId</t>
  </si>
  <si>
    <t>SYMBOLIC</t>
  </si>
  <si>
    <t>VALUE</t>
  </si>
  <si>
    <t>TSMC Chemical lorry/Gas trailer Barcode二合一單</t>
  </si>
  <si>
    <t>Item</t>
  </si>
  <si>
    <t>N</t>
  </si>
  <si>
    <t>MEAN</t>
  </si>
  <si>
    <t>SD</t>
  </si>
  <si>
    <t>MAX</t>
  </si>
  <si>
    <t>MIN</t>
  </si>
  <si>
    <t>DL</t>
  </si>
  <si>
    <t>CO2_ppb</t>
  </si>
  <si>
    <t>CO_ppb</t>
  </si>
  <si>
    <t>H2O_ppb</t>
  </si>
  <si>
    <t>H2_ppb</t>
  </si>
  <si>
    <t>N2_ppb</t>
  </si>
  <si>
    <t>O2_ppb</t>
  </si>
  <si>
    <t>Material Barcode</t>
  </si>
  <si>
    <t>Purity</t>
  </si>
  <si>
    <t>THC_as_CH4_ppb</t>
  </si>
  <si>
    <t>料號</t>
  </si>
  <si>
    <t>槽號</t>
  </si>
  <si>
    <t>批號</t>
  </si>
  <si>
    <t>供應商</t>
  </si>
  <si>
    <t>廠別</t>
  </si>
  <si>
    <t>127012P3</t>
  </si>
  <si>
    <t>Chemical lorry/Gas trailer CoA上傳資訊</t>
  </si>
  <si>
    <t>CoA 是否符合出貨規格 (SPEC) : ____ (Y/N)</t>
  </si>
  <si>
    <t>Chemical lorry/Gas trailer CoA上傳資訊裡的BatchID 是否與 出貨單相符: _____(Y/N)</t>
  </si>
  <si>
    <t>填表人 (supplier) :____________ ; 確認者 (supplier) : ____________</t>
  </si>
  <si>
    <t>保存年限：5年</t>
  </si>
  <si>
    <t>表單編號:W-QM-081_V09_F22 _1-1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</si>
</sst>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1">
    <font>
      <sz val="10.0"/>
      <color rgb="FF000000"/>
      <name val="Arial"/>
    </font>
    <font/>
    <font>
      <b/>
      <sz val="20.0"/>
      <color rgb="FF000000"/>
      <name val="Arial"/>
    </font>
    <font>
      <b/>
      <u/>
      <sz val="16.0"/>
      <color rgb="FF000000"/>
      <name val="Arial"/>
    </font>
    <font>
      <b/>
      <sz val="18.0"/>
    </font>
    <font>
      <sz val="48.0"/>
      <name val="Libre Barcode 39 Text"/>
    </font>
    <font>
      <b/>
      <name val="Arial"/>
    </font>
    <font>
      <name val="Arial"/>
    </font>
    <font>
      <sz val="12.0"/>
      <color rgb="FF000000"/>
      <name val="MingLiu"/>
    </font>
    <font>
      <b/>
      <sz val="14.0"/>
      <color rgb="FF000000"/>
      <name val="Arial"/>
    </font>
    <font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Font="1"/>
    <xf borderId="0" fillId="0" fontId="9" numFmtId="0" xfId="0" applyAlignment="1" applyFont="1">
      <alignment readingOrder="0"/>
    </xf>
    <xf borderId="0" fillId="3" fontId="10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285750</xdr:rowOff>
    </xdr:from>
    <xdr:ext cx="9201150" cy="42957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43000" cy="29527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69.63"/>
    <col customWidth="1" min="3" max="3" width="15.0"/>
  </cols>
  <sheetData>
    <row r="1" ht="32.25" customHeight="1">
      <c r="C1" s="3"/>
    </row>
    <row r="2">
      <c r="A2" s="4" t="s">
        <v>28</v>
      </c>
    </row>
    <row r="3">
      <c r="C3" s="3"/>
    </row>
    <row r="4">
      <c r="A4" s="5" t="s">
        <v>42</v>
      </c>
      <c r="C4" s="3"/>
    </row>
    <row r="5" ht="78.75" customHeight="1">
      <c r="A5" s="6" t="s">
        <v>45</v>
      </c>
      <c r="B5" s="7" t="str">
        <f t="shared" ref="B5:B9" si="1">C5</f>
        <v>*4LB10070*</v>
      </c>
      <c r="C5" s="8" t="str">
        <f t="shared" ref="C5:C9" si="2">"*"&amp;E5&amp;"*"</f>
        <v>*4LB10070*</v>
      </c>
      <c r="D5" s="9" t="s">
        <v>3</v>
      </c>
      <c r="E5" s="10" t="str">
        <f>"4"&amp;D5</f>
        <v>4LB10070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78.75" customHeight="1">
      <c r="A6" s="6" t="s">
        <v>46</v>
      </c>
      <c r="B6" s="7" t="str">
        <f t="shared" si="1"/>
        <v>*5CP0702*</v>
      </c>
      <c r="C6" s="8" t="str">
        <f t="shared" si="2"/>
        <v>*5CP0702*</v>
      </c>
      <c r="D6" s="12" t="s">
        <v>19</v>
      </c>
      <c r="E6" s="10" t="str">
        <f>"5"&amp;D6</f>
        <v>5CP0702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78.75" customHeight="1">
      <c r="A7" s="6" t="s">
        <v>47</v>
      </c>
      <c r="B7" s="7" t="str">
        <f t="shared" si="1"/>
        <v>*6CP0702*</v>
      </c>
      <c r="C7" s="8" t="str">
        <f t="shared" si="2"/>
        <v>*6CP0702*</v>
      </c>
      <c r="D7" s="13" t="str">
        <f>D6</f>
        <v>CP0702</v>
      </c>
      <c r="E7" s="10" t="str">
        <f>"6"&amp;D7</f>
        <v>6CP0702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78.75" customHeight="1">
      <c r="A8" s="6" t="s">
        <v>48</v>
      </c>
      <c r="B8" s="7" t="str">
        <f t="shared" si="1"/>
        <v>*322522453*</v>
      </c>
      <c r="C8" s="8" t="str">
        <f t="shared" si="2"/>
        <v>*322522453*</v>
      </c>
      <c r="D8" s="14">
        <v>2.2522453E7</v>
      </c>
      <c r="E8" s="10" t="str">
        <f>"3"&amp;D8</f>
        <v>322522453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78.75" customHeight="1">
      <c r="A9" s="6" t="s">
        <v>49</v>
      </c>
      <c r="B9" s="7" t="str">
        <f t="shared" si="1"/>
        <v>*E127012P3*</v>
      </c>
      <c r="C9" s="8" t="str">
        <f t="shared" si="2"/>
        <v>*E127012P3*</v>
      </c>
      <c r="D9" s="9" t="s">
        <v>50</v>
      </c>
      <c r="E9" s="15" t="str">
        <f>"E"&amp;D9</f>
        <v>E127012P3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C10" s="3"/>
    </row>
    <row r="11">
      <c r="A11" s="5" t="s">
        <v>51</v>
      </c>
      <c r="C11" s="3"/>
    </row>
    <row r="12">
      <c r="A12" s="16"/>
      <c r="C12" s="3"/>
    </row>
    <row r="13">
      <c r="A13" s="16"/>
      <c r="C13" s="3"/>
    </row>
    <row r="14">
      <c r="C14" s="3"/>
    </row>
    <row r="15">
      <c r="C15" s="3"/>
    </row>
    <row r="16">
      <c r="C16" s="3"/>
    </row>
    <row r="17">
      <c r="C17" s="3"/>
    </row>
    <row r="19">
      <c r="C19" s="3"/>
    </row>
    <row r="20">
      <c r="C20" s="3"/>
    </row>
    <row r="21">
      <c r="C21" s="3"/>
    </row>
    <row r="22">
      <c r="C22" s="3"/>
    </row>
    <row r="23">
      <c r="C23" s="3"/>
    </row>
    <row r="24">
      <c r="C24" s="3"/>
    </row>
    <row r="25">
      <c r="C25" s="3"/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 ht="31.5" customHeight="1">
      <c r="A33" s="17" t="s">
        <v>52</v>
      </c>
      <c r="B33" s="17"/>
      <c r="C33" s="3"/>
    </row>
    <row r="34" ht="33.0" customHeight="1">
      <c r="A34" s="17" t="s">
        <v>53</v>
      </c>
      <c r="B34" s="17"/>
      <c r="C34" s="3"/>
    </row>
    <row r="35" ht="38.25" customHeight="1">
      <c r="A35" s="17" t="s">
        <v>54</v>
      </c>
      <c r="C35" s="3"/>
    </row>
    <row r="36">
      <c r="A36" s="18" t="s">
        <v>55</v>
      </c>
      <c r="C36" s="19" t="s">
        <v>56</v>
      </c>
    </row>
    <row r="37">
      <c r="C37" s="3"/>
    </row>
    <row r="38">
      <c r="C38" s="3"/>
    </row>
    <row r="39">
      <c r="C39" s="3"/>
    </row>
    <row r="40">
      <c r="C40" s="3"/>
    </row>
    <row r="41">
      <c r="C41" s="3"/>
    </row>
    <row r="42">
      <c r="C42" s="3"/>
    </row>
    <row r="43">
      <c r="C43" s="3"/>
    </row>
    <row r="44">
      <c r="C44" s="3"/>
    </row>
    <row r="45">
      <c r="C45" s="3"/>
    </row>
    <row r="46">
      <c r="C46" s="3"/>
    </row>
    <row r="47">
      <c r="C47" s="3"/>
    </row>
    <row r="48">
      <c r="C48" s="3"/>
    </row>
    <row r="49">
      <c r="C49" s="3"/>
    </row>
    <row r="50">
      <c r="C50" s="3"/>
    </row>
    <row r="51">
      <c r="C51" s="3"/>
    </row>
    <row r="52">
      <c r="C52" s="3"/>
    </row>
    <row r="53">
      <c r="C53" s="3"/>
    </row>
    <row r="54">
      <c r="C54" s="3"/>
    </row>
    <row r="55">
      <c r="C55" s="3"/>
    </row>
    <row r="56">
      <c r="C56" s="3"/>
    </row>
    <row r="57">
      <c r="C57" s="3"/>
    </row>
    <row r="58">
      <c r="C58" s="3"/>
    </row>
    <row r="59">
      <c r="C59" s="3"/>
    </row>
    <row r="60">
      <c r="C60" s="3"/>
    </row>
    <row r="61">
      <c r="C61" s="3"/>
    </row>
    <row r="62">
      <c r="C62" s="3"/>
    </row>
    <row r="63">
      <c r="C63" s="3"/>
    </row>
    <row r="64">
      <c r="C64" s="3"/>
    </row>
    <row r="65">
      <c r="C65" s="3"/>
    </row>
    <row r="66">
      <c r="C66" s="3"/>
    </row>
    <row r="67">
      <c r="C67" s="3"/>
    </row>
    <row r="68">
      <c r="C68" s="3"/>
    </row>
    <row r="69">
      <c r="C69" s="3"/>
    </row>
    <row r="70">
      <c r="C70" s="3"/>
    </row>
    <row r="71">
      <c r="C71" s="3"/>
    </row>
    <row r="72">
      <c r="C72" s="3"/>
    </row>
    <row r="73">
      <c r="C73" s="3"/>
    </row>
    <row r="74">
      <c r="C74" s="3"/>
    </row>
    <row r="75">
      <c r="C75" s="3"/>
    </row>
    <row r="76">
      <c r="C76" s="3"/>
    </row>
    <row r="77">
      <c r="C77" s="3"/>
    </row>
    <row r="78">
      <c r="C78" s="3"/>
    </row>
    <row r="79">
      <c r="C79" s="3"/>
    </row>
    <row r="80">
      <c r="C80" s="3"/>
    </row>
    <row r="81">
      <c r="C81" s="3"/>
    </row>
    <row r="82">
      <c r="C82" s="3"/>
    </row>
    <row r="83">
      <c r="C83" s="3"/>
    </row>
    <row r="84">
      <c r="C84" s="3"/>
    </row>
    <row r="85">
      <c r="C85" s="3"/>
    </row>
    <row r="86">
      <c r="C86" s="3"/>
    </row>
    <row r="87">
      <c r="C87" s="3"/>
    </row>
    <row r="88">
      <c r="C88" s="3"/>
    </row>
    <row r="89">
      <c r="C89" s="3"/>
    </row>
    <row r="90">
      <c r="C90" s="3"/>
    </row>
    <row r="91">
      <c r="C91" s="3"/>
    </row>
    <row r="92">
      <c r="C92" s="3"/>
    </row>
    <row r="93">
      <c r="C93" s="3"/>
    </row>
    <row r="94">
      <c r="C94" s="3"/>
    </row>
    <row r="95">
      <c r="C95" s="3"/>
    </row>
    <row r="96">
      <c r="C96" s="3"/>
    </row>
    <row r="97">
      <c r="C97" s="3"/>
    </row>
    <row r="98">
      <c r="C98" s="3"/>
    </row>
    <row r="99">
      <c r="C99" s="3"/>
    </row>
    <row r="100">
      <c r="C100" s="3"/>
    </row>
    <row r="101">
      <c r="C101" s="3"/>
    </row>
    <row r="102">
      <c r="C102" s="3"/>
    </row>
    <row r="103">
      <c r="C103" s="3"/>
    </row>
    <row r="104">
      <c r="C104" s="3"/>
    </row>
    <row r="105">
      <c r="C105" s="3"/>
    </row>
    <row r="106">
      <c r="C106" s="3"/>
    </row>
    <row r="107">
      <c r="C107" s="3"/>
    </row>
    <row r="108">
      <c r="C108" s="3"/>
    </row>
    <row r="109">
      <c r="C109" s="3"/>
    </row>
    <row r="110">
      <c r="C110" s="3"/>
    </row>
    <row r="111">
      <c r="C111" s="3"/>
    </row>
    <row r="112">
      <c r="C112" s="3"/>
    </row>
    <row r="113">
      <c r="C113" s="3"/>
    </row>
    <row r="114">
      <c r="C114" s="3"/>
    </row>
    <row r="115">
      <c r="C115" s="3"/>
    </row>
    <row r="116">
      <c r="C116" s="3"/>
    </row>
    <row r="117">
      <c r="C117" s="3"/>
    </row>
    <row r="118">
      <c r="C118" s="3"/>
    </row>
    <row r="119">
      <c r="C119" s="3"/>
    </row>
    <row r="120">
      <c r="C120" s="3"/>
    </row>
    <row r="121">
      <c r="C121" s="3"/>
    </row>
    <row r="122">
      <c r="C122" s="3"/>
    </row>
    <row r="123">
      <c r="C123" s="3"/>
    </row>
    <row r="124">
      <c r="C124" s="3"/>
    </row>
    <row r="125">
      <c r="C125" s="3"/>
    </row>
    <row r="126">
      <c r="C126" s="3"/>
    </row>
    <row r="127">
      <c r="C127" s="3"/>
    </row>
    <row r="128">
      <c r="C128" s="3"/>
    </row>
    <row r="129">
      <c r="C129" s="3"/>
    </row>
    <row r="130">
      <c r="C130" s="3"/>
    </row>
    <row r="131">
      <c r="C131" s="3"/>
    </row>
    <row r="132">
      <c r="C132" s="3"/>
    </row>
    <row r="133">
      <c r="C133" s="3"/>
    </row>
    <row r="134">
      <c r="C134" s="3"/>
    </row>
    <row r="135">
      <c r="C135" s="3"/>
    </row>
    <row r="136">
      <c r="C136" s="3"/>
    </row>
    <row r="137">
      <c r="C137" s="3"/>
    </row>
    <row r="138">
      <c r="C138" s="3"/>
    </row>
    <row r="139">
      <c r="C139" s="3"/>
    </row>
    <row r="140">
      <c r="C140" s="3"/>
    </row>
    <row r="141">
      <c r="C141" s="3"/>
    </row>
    <row r="142">
      <c r="C142" s="3"/>
    </row>
    <row r="143">
      <c r="C143" s="3"/>
    </row>
    <row r="144">
      <c r="C144" s="3"/>
    </row>
    <row r="145">
      <c r="C145" s="3"/>
    </row>
    <row r="146">
      <c r="C146" s="3"/>
    </row>
    <row r="147">
      <c r="C147" s="3"/>
    </row>
    <row r="148">
      <c r="C148" s="3"/>
    </row>
    <row r="149">
      <c r="C149" s="3"/>
    </row>
    <row r="150">
      <c r="C150" s="3"/>
    </row>
    <row r="151">
      <c r="C151" s="3"/>
    </row>
    <row r="152">
      <c r="C152" s="3"/>
    </row>
    <row r="153">
      <c r="C153" s="3"/>
    </row>
    <row r="154">
      <c r="C154" s="3"/>
    </row>
    <row r="155">
      <c r="C155" s="3"/>
    </row>
    <row r="156">
      <c r="C156" s="3"/>
    </row>
    <row r="157">
      <c r="C157" s="3"/>
    </row>
    <row r="158">
      <c r="C158" s="3"/>
    </row>
    <row r="159">
      <c r="C159" s="3"/>
    </row>
    <row r="160">
      <c r="C160" s="3"/>
    </row>
    <row r="161">
      <c r="C161" s="3"/>
    </row>
    <row r="162">
      <c r="C162" s="3"/>
    </row>
    <row r="163">
      <c r="C163" s="3"/>
    </row>
    <row r="164">
      <c r="C164" s="3"/>
    </row>
    <row r="165">
      <c r="C165" s="3"/>
    </row>
    <row r="166">
      <c r="C166" s="3"/>
    </row>
    <row r="167">
      <c r="C167" s="3"/>
    </row>
    <row r="168">
      <c r="C168" s="3"/>
    </row>
    <row r="169">
      <c r="C169" s="3"/>
    </row>
    <row r="170">
      <c r="C170" s="3"/>
    </row>
    <row r="171">
      <c r="C171" s="3"/>
    </row>
    <row r="172">
      <c r="C172" s="3"/>
    </row>
    <row r="173">
      <c r="C173" s="3"/>
    </row>
    <row r="174">
      <c r="C174" s="3"/>
    </row>
    <row r="175">
      <c r="C175" s="3"/>
    </row>
    <row r="176">
      <c r="C176" s="3"/>
    </row>
    <row r="177">
      <c r="C177" s="3"/>
    </row>
    <row r="178">
      <c r="C178" s="3"/>
    </row>
    <row r="179">
      <c r="C179" s="3"/>
    </row>
    <row r="180">
      <c r="C180" s="3"/>
    </row>
    <row r="181">
      <c r="C181" s="3"/>
    </row>
    <row r="182">
      <c r="C182" s="3"/>
    </row>
    <row r="183">
      <c r="C183" s="3"/>
    </row>
    <row r="184">
      <c r="C184" s="3"/>
    </row>
    <row r="185">
      <c r="C185" s="3"/>
    </row>
    <row r="186">
      <c r="C186" s="3"/>
    </row>
    <row r="187">
      <c r="C187" s="3"/>
    </row>
    <row r="188">
      <c r="C188" s="3"/>
    </row>
    <row r="189">
      <c r="C189" s="3"/>
    </row>
    <row r="190">
      <c r="C190" s="3"/>
    </row>
    <row r="191">
      <c r="C191" s="3"/>
    </row>
    <row r="192">
      <c r="C192" s="3"/>
    </row>
    <row r="193">
      <c r="C193" s="3"/>
    </row>
    <row r="194">
      <c r="C194" s="3"/>
    </row>
    <row r="195">
      <c r="C195" s="3"/>
    </row>
    <row r="196">
      <c r="C196" s="3"/>
    </row>
    <row r="197">
      <c r="C197" s="3"/>
    </row>
    <row r="198">
      <c r="C198" s="3"/>
    </row>
    <row r="199">
      <c r="C199" s="3"/>
    </row>
    <row r="200">
      <c r="C200" s="3"/>
    </row>
    <row r="201">
      <c r="C201" s="3"/>
    </row>
    <row r="202">
      <c r="C202" s="3"/>
    </row>
    <row r="203">
      <c r="C203" s="3"/>
    </row>
    <row r="204">
      <c r="C204" s="3"/>
    </row>
    <row r="205">
      <c r="C205" s="3"/>
    </row>
    <row r="206">
      <c r="C206" s="3"/>
    </row>
    <row r="207">
      <c r="C207" s="3"/>
    </row>
    <row r="208">
      <c r="C208" s="3"/>
    </row>
    <row r="209">
      <c r="C209" s="3"/>
    </row>
    <row r="210">
      <c r="C210" s="3"/>
    </row>
    <row r="211">
      <c r="C211" s="3"/>
    </row>
    <row r="212">
      <c r="C212" s="3"/>
    </row>
    <row r="213">
      <c r="C213" s="3"/>
    </row>
    <row r="214">
      <c r="C214" s="3"/>
    </row>
    <row r="215">
      <c r="C215" s="3"/>
    </row>
    <row r="216">
      <c r="C216" s="3"/>
    </row>
    <row r="217">
      <c r="C217" s="3"/>
    </row>
    <row r="218">
      <c r="C218" s="3"/>
    </row>
    <row r="219">
      <c r="C219" s="3"/>
    </row>
    <row r="220">
      <c r="C220" s="3"/>
    </row>
    <row r="221">
      <c r="C221" s="3"/>
    </row>
    <row r="222">
      <c r="C222" s="3"/>
    </row>
    <row r="223">
      <c r="C223" s="3"/>
    </row>
    <row r="224">
      <c r="C224" s="3"/>
    </row>
    <row r="225">
      <c r="C225" s="3"/>
    </row>
    <row r="226">
      <c r="C226" s="3"/>
    </row>
    <row r="227">
      <c r="C227" s="3"/>
    </row>
    <row r="228">
      <c r="C228" s="3"/>
    </row>
    <row r="229">
      <c r="C229" s="3"/>
    </row>
    <row r="230">
      <c r="C230" s="3"/>
    </row>
    <row r="231">
      <c r="C231" s="3"/>
    </row>
    <row r="232">
      <c r="C232" s="3"/>
    </row>
    <row r="233">
      <c r="C233" s="3"/>
    </row>
    <row r="234">
      <c r="C234" s="3"/>
    </row>
    <row r="235">
      <c r="C235" s="3"/>
    </row>
    <row r="236">
      <c r="C236" s="3"/>
    </row>
    <row r="237">
      <c r="C237" s="3"/>
    </row>
    <row r="238">
      <c r="C238" s="3"/>
    </row>
    <row r="239">
      <c r="C239" s="3"/>
    </row>
    <row r="240">
      <c r="C240" s="3"/>
    </row>
    <row r="241">
      <c r="C241" s="3"/>
    </row>
    <row r="242">
      <c r="C242" s="3"/>
    </row>
    <row r="243">
      <c r="C243" s="3"/>
    </row>
    <row r="244">
      <c r="C244" s="3"/>
    </row>
    <row r="245">
      <c r="C245" s="3"/>
    </row>
    <row r="246">
      <c r="C246" s="3"/>
    </row>
    <row r="247">
      <c r="C247" s="3"/>
    </row>
    <row r="248">
      <c r="C248" s="3"/>
    </row>
    <row r="249">
      <c r="C249" s="3"/>
    </row>
    <row r="250">
      <c r="C250" s="3"/>
    </row>
    <row r="251">
      <c r="C251" s="3"/>
    </row>
    <row r="252">
      <c r="C252" s="3"/>
    </row>
    <row r="253">
      <c r="C253" s="3"/>
    </row>
    <row r="254">
      <c r="C254" s="3"/>
    </row>
    <row r="255">
      <c r="C255" s="3"/>
    </row>
    <row r="256">
      <c r="C256" s="3"/>
    </row>
    <row r="257">
      <c r="C257" s="3"/>
    </row>
    <row r="258">
      <c r="C258" s="3"/>
    </row>
    <row r="259">
      <c r="C259" s="3"/>
    </row>
    <row r="260">
      <c r="C260" s="3"/>
    </row>
    <row r="261">
      <c r="C261" s="3"/>
    </row>
    <row r="262">
      <c r="C262" s="3"/>
    </row>
    <row r="263">
      <c r="C263" s="3"/>
    </row>
    <row r="264">
      <c r="C264" s="3"/>
    </row>
    <row r="265">
      <c r="C265" s="3"/>
    </row>
    <row r="266">
      <c r="C266" s="3"/>
    </row>
    <row r="267">
      <c r="C267" s="3"/>
    </row>
    <row r="268">
      <c r="C268" s="3"/>
    </row>
    <row r="269">
      <c r="C269" s="3"/>
    </row>
    <row r="270">
      <c r="C270" s="3"/>
    </row>
    <row r="271">
      <c r="C271" s="3"/>
    </row>
    <row r="272">
      <c r="C272" s="3"/>
    </row>
    <row r="273">
      <c r="C273" s="3"/>
    </row>
    <row r="274">
      <c r="C274" s="3"/>
    </row>
    <row r="275">
      <c r="C275" s="3"/>
    </row>
    <row r="276">
      <c r="C276" s="3"/>
    </row>
    <row r="277">
      <c r="C277" s="3"/>
    </row>
    <row r="278">
      <c r="C278" s="3"/>
    </row>
    <row r="279">
      <c r="C279" s="3"/>
    </row>
    <row r="280">
      <c r="C280" s="3"/>
    </row>
    <row r="281">
      <c r="C281" s="3"/>
    </row>
    <row r="282">
      <c r="C282" s="3"/>
    </row>
    <row r="283">
      <c r="C283" s="3"/>
    </row>
    <row r="284">
      <c r="C284" s="3"/>
    </row>
    <row r="285">
      <c r="C285" s="3"/>
    </row>
    <row r="286">
      <c r="C286" s="3"/>
    </row>
    <row r="287">
      <c r="C287" s="3"/>
    </row>
    <row r="288">
      <c r="C288" s="3"/>
    </row>
    <row r="289">
      <c r="C289" s="3"/>
    </row>
    <row r="290">
      <c r="C290" s="3"/>
    </row>
    <row r="291">
      <c r="C291" s="3"/>
    </row>
    <row r="292">
      <c r="C292" s="3"/>
    </row>
    <row r="293">
      <c r="C293" s="3"/>
    </row>
    <row r="294">
      <c r="C294" s="3"/>
    </row>
    <row r="295">
      <c r="C295" s="3"/>
    </row>
    <row r="296">
      <c r="C296" s="3"/>
    </row>
    <row r="297">
      <c r="C297" s="3"/>
    </row>
    <row r="298">
      <c r="C298" s="3"/>
    </row>
    <row r="299">
      <c r="C299" s="3"/>
    </row>
    <row r="300">
      <c r="C300" s="3"/>
    </row>
    <row r="301">
      <c r="C301" s="3"/>
    </row>
    <row r="302">
      <c r="C302" s="3"/>
    </row>
    <row r="303">
      <c r="C303" s="3"/>
    </row>
    <row r="304">
      <c r="C304" s="3"/>
    </row>
    <row r="305">
      <c r="C305" s="3"/>
    </row>
    <row r="306">
      <c r="C306" s="3"/>
    </row>
    <row r="307">
      <c r="C307" s="3"/>
    </row>
    <row r="308">
      <c r="C308" s="3"/>
    </row>
    <row r="309">
      <c r="C309" s="3"/>
    </row>
    <row r="310">
      <c r="C310" s="3"/>
    </row>
    <row r="311">
      <c r="C311" s="3"/>
    </row>
    <row r="312">
      <c r="C312" s="3"/>
    </row>
    <row r="313">
      <c r="C313" s="3"/>
    </row>
    <row r="314">
      <c r="C314" s="3"/>
    </row>
    <row r="315">
      <c r="C315" s="3"/>
    </row>
    <row r="316">
      <c r="C316" s="3"/>
    </row>
    <row r="317">
      <c r="C317" s="3"/>
    </row>
    <row r="318">
      <c r="C318" s="3"/>
    </row>
    <row r="319">
      <c r="C319" s="3"/>
    </row>
    <row r="320">
      <c r="C320" s="3"/>
    </row>
    <row r="321">
      <c r="C321" s="3"/>
    </row>
    <row r="322">
      <c r="C322" s="3"/>
    </row>
    <row r="323">
      <c r="C323" s="3"/>
    </row>
    <row r="324">
      <c r="C324" s="3"/>
    </row>
    <row r="325">
      <c r="C325" s="3"/>
    </row>
    <row r="326">
      <c r="C326" s="3"/>
    </row>
    <row r="327">
      <c r="C327" s="3"/>
    </row>
    <row r="328">
      <c r="C328" s="3"/>
    </row>
    <row r="329">
      <c r="C329" s="3"/>
    </row>
    <row r="330">
      <c r="C330" s="3"/>
    </row>
    <row r="331">
      <c r="C331" s="3"/>
    </row>
    <row r="332">
      <c r="C332" s="3"/>
    </row>
    <row r="333">
      <c r="C333" s="3"/>
    </row>
    <row r="334">
      <c r="C334" s="3"/>
    </row>
    <row r="335">
      <c r="C335" s="3"/>
    </row>
    <row r="336">
      <c r="C336" s="3"/>
    </row>
    <row r="337">
      <c r="C337" s="3"/>
    </row>
    <row r="338">
      <c r="C338" s="3"/>
    </row>
    <row r="339">
      <c r="C339" s="3"/>
    </row>
    <row r="340">
      <c r="C340" s="3"/>
    </row>
    <row r="341">
      <c r="C341" s="3"/>
    </row>
    <row r="342">
      <c r="C342" s="3"/>
    </row>
    <row r="343">
      <c r="C343" s="3"/>
    </row>
    <row r="344">
      <c r="C344" s="3"/>
    </row>
    <row r="345">
      <c r="C345" s="3"/>
    </row>
    <row r="346">
      <c r="C346" s="3"/>
    </row>
    <row r="347">
      <c r="C347" s="3"/>
    </row>
    <row r="348">
      <c r="C348" s="3"/>
    </row>
    <row r="349">
      <c r="C349" s="3"/>
    </row>
    <row r="350">
      <c r="C350" s="3"/>
    </row>
    <row r="351">
      <c r="C351" s="3"/>
    </row>
    <row r="352">
      <c r="C352" s="3"/>
    </row>
    <row r="353">
      <c r="C353" s="3"/>
    </row>
    <row r="354">
      <c r="C354" s="3"/>
    </row>
    <row r="355">
      <c r="C355" s="3"/>
    </row>
    <row r="356">
      <c r="C356" s="3"/>
    </row>
    <row r="357">
      <c r="C357" s="3"/>
    </row>
    <row r="358">
      <c r="C358" s="3"/>
    </row>
    <row r="359">
      <c r="C359" s="3"/>
    </row>
    <row r="360">
      <c r="C360" s="3"/>
    </row>
    <row r="361">
      <c r="C361" s="3"/>
    </row>
    <row r="362">
      <c r="C362" s="3"/>
    </row>
    <row r="363">
      <c r="C363" s="3"/>
    </row>
    <row r="364">
      <c r="C364" s="3"/>
    </row>
    <row r="365">
      <c r="C365" s="3"/>
    </row>
    <row r="366">
      <c r="C366" s="3"/>
    </row>
    <row r="367">
      <c r="C367" s="3"/>
    </row>
    <row r="368">
      <c r="C368" s="3"/>
    </row>
    <row r="369">
      <c r="C369" s="3"/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  <row r="1000">
      <c r="C1000" s="3"/>
    </row>
    <row r="1001">
      <c r="C1001" s="3"/>
    </row>
    <row r="1002">
      <c r="C1002" s="3"/>
    </row>
  </sheetData>
  <mergeCells count="1">
    <mergeCell ref="A2:C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1" t="s">
        <v>5</v>
      </c>
    </row>
    <row r="5">
      <c r="A5" s="1" t="s">
        <v>6</v>
      </c>
      <c r="B5" s="1">
        <v>2.2522453E7</v>
      </c>
    </row>
    <row r="6">
      <c r="A6" s="1" t="s">
        <v>7</v>
      </c>
      <c r="B6" s="1" t="s">
        <v>8</v>
      </c>
    </row>
    <row r="7">
      <c r="A7" s="1" t="s">
        <v>9</v>
      </c>
      <c r="B7" s="1">
        <v>1270.0</v>
      </c>
    </row>
    <row r="8">
      <c r="A8" s="1" t="s">
        <v>10</v>
      </c>
      <c r="B8" s="1" t="s">
        <v>11</v>
      </c>
    </row>
    <row r="9">
      <c r="A9" s="1" t="s">
        <v>12</v>
      </c>
      <c r="B9" s="1">
        <v>1.0</v>
      </c>
    </row>
    <row r="10">
      <c r="A10" s="1" t="s">
        <v>13</v>
      </c>
      <c r="B10" s="1" t="s">
        <v>14</v>
      </c>
    </row>
    <row r="11">
      <c r="A11" s="1" t="s">
        <v>15</v>
      </c>
      <c r="B11" s="2">
        <v>44021.0</v>
      </c>
    </row>
    <row r="12">
      <c r="A12" s="1" t="s">
        <v>16</v>
      </c>
      <c r="B12" s="2">
        <v>44027.0</v>
      </c>
    </row>
    <row r="13">
      <c r="A13" s="1" t="s">
        <v>17</v>
      </c>
      <c r="B13" s="1">
        <v>4.501316019E9</v>
      </c>
    </row>
    <row r="14">
      <c r="A14" s="1" t="s">
        <v>18</v>
      </c>
      <c r="B14" s="1" t="s">
        <v>19</v>
      </c>
    </row>
    <row r="15">
      <c r="A15" s="1" t="s">
        <v>20</v>
      </c>
      <c r="B15" s="1" t="s">
        <v>21</v>
      </c>
    </row>
    <row r="16">
      <c r="A16" s="1" t="s">
        <v>22</v>
      </c>
      <c r="B16" s="1" t="s">
        <v>23</v>
      </c>
    </row>
    <row r="17">
      <c r="A17" s="1" t="s">
        <v>24</v>
      </c>
      <c r="B17" s="1" t="s">
        <v>21</v>
      </c>
    </row>
    <row r="18">
      <c r="A18" s="1" t="s">
        <v>25</v>
      </c>
      <c r="B18" s="1" t="s">
        <v>19</v>
      </c>
    </row>
    <row r="19">
      <c r="A19" s="1" t="s">
        <v>26</v>
      </c>
      <c r="B19" s="1" t="s">
        <v>27</v>
      </c>
    </row>
    <row r="22">
      <c r="A22" s="1" t="s">
        <v>29</v>
      </c>
      <c r="B22" s="1" t="s">
        <v>30</v>
      </c>
      <c r="C22" s="1" t="s">
        <v>31</v>
      </c>
      <c r="D22" s="1" t="s">
        <v>32</v>
      </c>
      <c r="E22" s="1" t="s">
        <v>33</v>
      </c>
      <c r="F22" s="1" t="s">
        <v>34</v>
      </c>
      <c r="G22" s="1" t="s">
        <v>27</v>
      </c>
      <c r="H22" s="1" t="s">
        <v>35</v>
      </c>
    </row>
    <row r="23">
      <c r="A23" s="1" t="s">
        <v>36</v>
      </c>
      <c r="G23" s="1">
        <v>13.0</v>
      </c>
    </row>
    <row r="24">
      <c r="A24" s="1" t="s">
        <v>37</v>
      </c>
      <c r="G24" s="1">
        <v>10.0</v>
      </c>
    </row>
    <row r="25">
      <c r="A25" s="1" t="s">
        <v>38</v>
      </c>
      <c r="G25" s="1">
        <v>164.0</v>
      </c>
    </row>
    <row r="26">
      <c r="A26" s="1" t="s">
        <v>39</v>
      </c>
      <c r="G26" s="1">
        <v>10.0</v>
      </c>
    </row>
    <row r="27">
      <c r="A27" s="1" t="s">
        <v>40</v>
      </c>
      <c r="G27" s="1">
        <v>321.0</v>
      </c>
    </row>
    <row r="28">
      <c r="A28" s="1" t="s">
        <v>41</v>
      </c>
      <c r="G28" s="1">
        <v>95.0</v>
      </c>
    </row>
    <row r="29">
      <c r="A29" s="1" t="s">
        <v>43</v>
      </c>
      <c r="G29" s="1">
        <v>99.999</v>
      </c>
    </row>
    <row r="30">
      <c r="A30" s="1" t="s">
        <v>44</v>
      </c>
      <c r="G30" s="1">
        <v>10.0</v>
      </c>
    </row>
    <row r="31">
      <c r="A31" s="1" t="s">
        <v>26</v>
      </c>
      <c r="B31" s="1" t="s">
        <v>27</v>
      </c>
    </row>
  </sheetData>
  <drawing r:id="rId1"/>
</worksheet>
</file>