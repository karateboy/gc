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defaultThemeVersion="124226"/>
  <mc:AlternateContent xmlns:mc="http://schemas.openxmlformats.org/markup-compatibility/2006">
    <mc:Choice Requires="x15">
      <x15ac:absPath xmlns:x15ac="http://schemas.microsoft.com/office/spreadsheetml/2010/11/ac" url="C:\repo\gc\report_template\CoA\MTB\"/>
    </mc:Choice>
  </mc:AlternateContent>
  <xr:revisionPtr revIDLastSave="0" documentId="13_ncr:1_{4520AE41-8255-4598-86C5-218A7A1B2619}" xr6:coauthVersionLast="47" xr6:coauthVersionMax="47" xr10:uidLastSave="{00000000-0000-0000-0000-000000000000}"/>
  <bookViews>
    <workbookView xWindow="-103" yWindow="-103" windowWidth="33120" windowHeight="18000" xr2:uid="{D4510193-3B4D-457B-B8E0-5BA36CA9A0F3}"/>
  </bookViews>
  <sheets>
    <sheet name="Sheet1" sheetId="1" r:id="rId1"/>
  </sheets>
  <definedNames>
    <definedName name="_xlnm.Print_Area" localSheetId="0">Sheet1!$A$1:$J$46</definedName>
  </definedNames>
  <calcPr calcId="191029"/>
</workbook>
</file>

<file path=xl/calcChain.xml><?xml version="1.0" encoding="utf-8"?>
<calcChain xmlns="http://schemas.openxmlformats.org/spreadsheetml/2006/main">
  <c r="X8" i="1" l="1"/>
  <c r="X9" i="1"/>
  <c r="X10" i="1"/>
  <c r="X11" i="1"/>
  <c r="X13" i="1"/>
  <c r="X14" i="1"/>
  <c r="I15" i="1"/>
  <c r="M15" i="1"/>
  <c r="X15" i="1"/>
  <c r="M16" i="1"/>
  <c r="I18" i="1"/>
  <c r="O24" i="1"/>
  <c r="E30" i="1"/>
  <c r="Y12" i="1" s="1"/>
  <c r="X12" i="1" s="1"/>
  <c r="I41" i="1"/>
  <c r="O2" i="1" s="1"/>
  <c r="P9" i="1" l="1"/>
  <c r="P10" i="1"/>
  <c r="P8" i="1"/>
  <c r="P11" i="1"/>
  <c r="P12" i="1"/>
  <c r="P13" i="1"/>
  <c r="P14" i="1"/>
  <c r="P15" i="1"/>
  <c r="P16" i="1"/>
</calcChain>
</file>

<file path=xl/sharedStrings.xml><?xml version="1.0" encoding="utf-8"?>
<sst xmlns="http://schemas.openxmlformats.org/spreadsheetml/2006/main" count="181" uniqueCount="125">
  <si>
    <t xml:space="preserve">                                                     </t>
  </si>
  <si>
    <t>Electronic Materials Center Taiwan</t>
  </si>
  <si>
    <t>Certificate of Analysis</t>
    <phoneticPr fontId="3" type="noConversion"/>
  </si>
  <si>
    <t xml:space="preserve">Customer Order: </t>
  </si>
  <si>
    <t>PRODUCT</t>
  </si>
  <si>
    <t xml:space="preserve">Customer Specification / Revision </t>
  </si>
  <si>
    <t>FILLING</t>
  </si>
  <si>
    <t>PACKAGING</t>
  </si>
  <si>
    <t>SPECIFICATIONS</t>
  </si>
  <si>
    <t>Impurity</t>
  </si>
  <si>
    <t>Specifications</t>
  </si>
  <si>
    <t>Results</t>
  </si>
  <si>
    <t>Method</t>
  </si>
  <si>
    <t>Detection Limit</t>
  </si>
  <si>
    <t>Moisture Analyzer</t>
    <phoneticPr fontId="3" type="noConversion"/>
  </si>
  <si>
    <r>
      <t>*  ND</t>
    </r>
    <r>
      <rPr>
        <sz val="9.5"/>
        <color indexed="8"/>
        <rFont val="新細明體"/>
        <family val="1"/>
        <charset val="136"/>
      </rPr>
      <t>：</t>
    </r>
    <r>
      <rPr>
        <sz val="9.5"/>
        <color indexed="8"/>
        <rFont val="Arial"/>
        <family val="2"/>
      </rPr>
      <t xml:space="preserve"> Not Detectable, below Detection Limit</t>
    </r>
  </si>
  <si>
    <r>
      <t>** GC</t>
    </r>
    <r>
      <rPr>
        <sz val="9.5"/>
        <color indexed="8"/>
        <rFont val="新細明體"/>
        <family val="1"/>
        <charset val="136"/>
      </rPr>
      <t>：</t>
    </r>
    <r>
      <rPr>
        <sz val="9.5"/>
        <color indexed="8"/>
        <rFont val="Arial"/>
        <family val="2"/>
      </rPr>
      <t>Gas Chromatography</t>
    </r>
  </si>
  <si>
    <r>
      <t>Signature</t>
    </r>
    <r>
      <rPr>
        <sz val="9.5"/>
        <rFont val="細明體"/>
        <family val="3"/>
        <charset val="136"/>
      </rPr>
      <t>：</t>
    </r>
    <phoneticPr fontId="3" type="noConversion"/>
  </si>
  <si>
    <t>AIR LIQUIDE FAR EASTERN - ELECTRONIC MATERIALS CENTER TAIWAN</t>
    <phoneticPr fontId="3" type="noConversion"/>
  </si>
  <si>
    <t>N2</t>
    <phoneticPr fontId="3" type="noConversion"/>
  </si>
  <si>
    <t>CO</t>
    <phoneticPr fontId="3" type="noConversion"/>
  </si>
  <si>
    <t>CO2</t>
    <phoneticPr fontId="3" type="noConversion"/>
  </si>
  <si>
    <t>H2O</t>
    <phoneticPr fontId="3" type="noConversion"/>
  </si>
  <si>
    <t>GC-DID</t>
    <phoneticPr fontId="3" type="noConversion"/>
  </si>
  <si>
    <t>GC-DID</t>
    <phoneticPr fontId="3" type="noConversion"/>
  </si>
  <si>
    <r>
      <t>Name</t>
    </r>
    <r>
      <rPr>
        <sz val="9.5"/>
        <rFont val="細明體"/>
        <family val="3"/>
        <charset val="136"/>
      </rPr>
      <t>：</t>
    </r>
    <r>
      <rPr>
        <sz val="9.5"/>
        <rFont val="Arial"/>
        <family val="2"/>
      </rPr>
      <t xml:space="preserve">        </t>
    </r>
    <phoneticPr fontId="3" type="noConversion"/>
  </si>
  <si>
    <t>Product Name</t>
    <phoneticPr fontId="3" type="noConversion"/>
  </si>
  <si>
    <t>H2</t>
    <phoneticPr fontId="3" type="noConversion"/>
  </si>
  <si>
    <t>O2</t>
    <phoneticPr fontId="3" type="noConversion"/>
  </si>
  <si>
    <t>Delta F</t>
    <phoneticPr fontId="3" type="noConversion"/>
  </si>
  <si>
    <t>10 ppb</t>
    <phoneticPr fontId="3" type="noConversion"/>
  </si>
  <si>
    <t>GC-PED</t>
    <phoneticPr fontId="3" type="noConversion"/>
  </si>
  <si>
    <t xml:space="preserve">Container N°: </t>
    <phoneticPr fontId="3" type="noConversion"/>
  </si>
  <si>
    <r>
      <t>Manufacturing Lot</t>
    </r>
    <r>
      <rPr>
        <sz val="9.5"/>
        <rFont val="細明體"/>
        <family val="3"/>
        <charset val="136"/>
      </rPr>
      <t>：</t>
    </r>
    <phoneticPr fontId="3" type="noConversion"/>
  </si>
  <si>
    <t>ppb</t>
    <phoneticPr fontId="3" type="noConversion"/>
  </si>
  <si>
    <r>
      <t>台中市</t>
    </r>
    <r>
      <rPr>
        <sz val="9.5"/>
        <rFont val="Arial"/>
        <family val="2"/>
      </rPr>
      <t>435</t>
    </r>
    <r>
      <rPr>
        <sz val="9.5"/>
        <rFont val="細明體"/>
        <family val="3"/>
        <charset val="136"/>
      </rPr>
      <t>梧棲區中港加工出口區經一路</t>
    </r>
    <r>
      <rPr>
        <sz val="9.5"/>
        <rFont val="Arial"/>
        <family val="2"/>
      </rPr>
      <t>2</t>
    </r>
    <r>
      <rPr>
        <sz val="9.5"/>
        <rFont val="細明體"/>
        <family val="3"/>
        <charset val="136"/>
      </rPr>
      <t>號</t>
    </r>
    <r>
      <rPr>
        <sz val="9.5"/>
        <rFont val="Arial"/>
        <family val="2"/>
      </rPr>
      <t xml:space="preserve">  </t>
    </r>
    <phoneticPr fontId="3" type="noConversion"/>
  </si>
  <si>
    <r>
      <rPr>
        <sz val="9.5"/>
        <rFont val="Arial"/>
        <family val="2"/>
      </rPr>
      <t>150 kg/cm2 @35</t>
    </r>
    <r>
      <rPr>
        <sz val="9.5"/>
        <rFont val="細明體"/>
        <family val="3"/>
        <charset val="136"/>
      </rPr>
      <t>℃</t>
    </r>
    <phoneticPr fontId="3" type="noConversion"/>
  </si>
  <si>
    <r>
      <t>Pressure</t>
    </r>
    <r>
      <rPr>
        <sz val="9.5"/>
        <rFont val="細明體"/>
        <family val="3"/>
        <charset val="136"/>
      </rPr>
      <t>：</t>
    </r>
    <phoneticPr fontId="3" type="noConversion"/>
  </si>
  <si>
    <r>
      <t>Filling Date</t>
    </r>
    <r>
      <rPr>
        <sz val="9.5"/>
        <rFont val="細明體"/>
        <family val="3"/>
        <charset val="136"/>
      </rPr>
      <t>：</t>
    </r>
    <phoneticPr fontId="3" type="noConversion"/>
  </si>
  <si>
    <r>
      <t>Analysis Date</t>
    </r>
    <r>
      <rPr>
        <sz val="9.5"/>
        <rFont val="細明體"/>
        <family val="3"/>
        <charset val="136"/>
      </rPr>
      <t>：</t>
    </r>
    <phoneticPr fontId="3" type="noConversion"/>
  </si>
  <si>
    <r>
      <t>N°</t>
    </r>
    <r>
      <rPr>
        <sz val="9.5"/>
        <rFont val="細明體"/>
        <family val="3"/>
        <charset val="136"/>
      </rPr>
      <t>：</t>
    </r>
    <phoneticPr fontId="3" type="noConversion"/>
  </si>
  <si>
    <r>
      <t>Valve</t>
    </r>
    <r>
      <rPr>
        <sz val="9.5"/>
        <rFont val="細明體"/>
        <family val="3"/>
        <charset val="136"/>
      </rPr>
      <t>：</t>
    </r>
    <phoneticPr fontId="3" type="noConversion"/>
  </si>
  <si>
    <r>
      <t>Connection</t>
    </r>
    <r>
      <rPr>
        <sz val="9.5"/>
        <rFont val="細明體"/>
        <family val="3"/>
        <charset val="136"/>
      </rPr>
      <t>：</t>
    </r>
    <phoneticPr fontId="3" type="noConversion"/>
  </si>
  <si>
    <r>
      <t>Expiration Date</t>
    </r>
    <r>
      <rPr>
        <sz val="9.5"/>
        <rFont val="細明體"/>
        <family val="3"/>
        <charset val="136"/>
      </rPr>
      <t>：</t>
    </r>
    <phoneticPr fontId="3" type="noConversion"/>
  </si>
  <si>
    <r>
      <t>Date</t>
    </r>
    <r>
      <rPr>
        <sz val="9.5"/>
        <rFont val="細明體"/>
        <family val="3"/>
        <charset val="136"/>
      </rPr>
      <t>：</t>
    </r>
  </si>
  <si>
    <t xml:space="preserve">Helium </t>
    <phoneticPr fontId="3" type="noConversion"/>
  </si>
  <si>
    <t>--</t>
    <phoneticPr fontId="3" type="noConversion"/>
  </si>
  <si>
    <t>THC</t>
  </si>
  <si>
    <t>Helium(He)</t>
    <phoneticPr fontId="3" type="noConversion"/>
  </si>
  <si>
    <t>Total Purity</t>
    <phoneticPr fontId="3" type="noConversion"/>
  </si>
  <si>
    <t>&lt;500 ppb</t>
    <phoneticPr fontId="3" type="noConversion"/>
  </si>
  <si>
    <t>&lt;500 ppb</t>
    <phoneticPr fontId="3" type="noConversion"/>
  </si>
  <si>
    <t>Ar</t>
    <phoneticPr fontId="3" type="noConversion"/>
  </si>
  <si>
    <t>&lt;1000 ppb</t>
    <phoneticPr fontId="3" type="noConversion"/>
  </si>
  <si>
    <r>
      <t xml:space="preserve">MTB </t>
    </r>
    <r>
      <rPr>
        <b/>
        <sz val="16"/>
        <rFont val="細明體"/>
        <family val="3"/>
        <charset val="136"/>
      </rPr>
      <t>台中美光</t>
    </r>
    <phoneticPr fontId="3" type="noConversion"/>
  </si>
  <si>
    <t>Certified by Quality Manager of the</t>
    <phoneticPr fontId="3" type="noConversion"/>
  </si>
  <si>
    <t>Electronic Materials Center of Taiwan</t>
    <phoneticPr fontId="3" type="noConversion"/>
  </si>
  <si>
    <r>
      <t>亞東工業氣體股份有限公司台中分公司</t>
    </r>
    <r>
      <rPr>
        <sz val="9.5"/>
        <color indexed="56"/>
        <rFont val="Arial"/>
        <family val="2"/>
      </rPr>
      <t xml:space="preserve">   </t>
    </r>
    <r>
      <rPr>
        <sz val="9.5"/>
        <color indexed="56"/>
        <rFont val="細明體"/>
        <family val="3"/>
        <charset val="136"/>
      </rPr>
      <t>電子材料中心</t>
    </r>
    <r>
      <rPr>
        <sz val="9.5"/>
        <color indexed="56"/>
        <rFont val="Arial"/>
        <family val="2"/>
      </rPr>
      <t xml:space="preserve"> </t>
    </r>
    <r>
      <rPr>
        <sz val="9.5"/>
        <color indexed="56"/>
        <rFont val="細明體"/>
        <family val="3"/>
        <charset val="136"/>
      </rPr>
      <t>品管實驗室</t>
    </r>
    <r>
      <rPr>
        <sz val="9.5"/>
        <color indexed="56"/>
        <rFont val="Arial"/>
        <family val="2"/>
      </rPr>
      <t xml:space="preserve"> </t>
    </r>
    <phoneticPr fontId="3" type="noConversion"/>
  </si>
  <si>
    <r>
      <t>Tel</t>
    </r>
    <r>
      <rPr>
        <sz val="9.5"/>
        <rFont val="細明體"/>
        <family val="3"/>
        <charset val="136"/>
      </rPr>
      <t>：</t>
    </r>
    <r>
      <rPr>
        <sz val="9.5"/>
        <rFont val="Arial"/>
        <family val="2"/>
      </rPr>
      <t>(04)36099988    Fax: (04) 26595118</t>
    </r>
    <phoneticPr fontId="3" type="noConversion"/>
  </si>
  <si>
    <r>
      <t>表單編號：</t>
    </r>
    <r>
      <rPr>
        <sz val="9"/>
        <rFont val="Times New Roman"/>
        <family val="1"/>
      </rPr>
      <t>LB-P-015_V06_F02_1-1</t>
    </r>
    <phoneticPr fontId="3" type="noConversion"/>
  </si>
  <si>
    <t>&gt;99.9996%</t>
    <phoneticPr fontId="3" type="noConversion"/>
  </si>
  <si>
    <t>&lt;300 ppb</t>
    <phoneticPr fontId="3" type="noConversion"/>
  </si>
  <si>
    <t>&lt;100 ppb</t>
    <phoneticPr fontId="3" type="noConversion"/>
  </si>
  <si>
    <t>99.9996%</t>
    <phoneticPr fontId="3" type="noConversion"/>
  </si>
  <si>
    <t>10 ppb</t>
    <phoneticPr fontId="3" type="noConversion"/>
  </si>
  <si>
    <t>Delivery Note</t>
  </si>
  <si>
    <t>Delivery Date</t>
  </si>
  <si>
    <t xml:space="preserve">Spec. no. </t>
  </si>
  <si>
    <t>A6E4E6N5KPAA-547861255-155</t>
  </si>
  <si>
    <t>Fab.</t>
  </si>
  <si>
    <t>TW07</t>
    <phoneticPr fontId="3" type="noConversion"/>
  </si>
  <si>
    <t>Multi-InspectValue</t>
  </si>
  <si>
    <t>Y</t>
    <phoneticPr fontId="22" type="noConversion"/>
  </si>
  <si>
    <t>Material</t>
  </si>
  <si>
    <t>ESG, HE BULK, TB, 1300M3</t>
  </si>
  <si>
    <t xml:space="preserve">Material No. </t>
  </si>
  <si>
    <t>130-02088</t>
  </si>
  <si>
    <t>Version</t>
  </si>
  <si>
    <t>P/O No.</t>
  </si>
  <si>
    <t>(Do Not Change above columns)</t>
    <phoneticPr fontId="3" type="noConversion"/>
  </si>
  <si>
    <t xml:space="preserve">PO line item </t>
  </si>
  <si>
    <t>10</t>
    <phoneticPr fontId="3" type="noConversion"/>
  </si>
  <si>
    <t>vendor</t>
  </si>
  <si>
    <t>Maker plant</t>
  </si>
  <si>
    <t xml:space="preserve">TW-TAICHUNG </t>
    <phoneticPr fontId="3" type="noConversion"/>
  </si>
  <si>
    <r>
      <t>Remarks</t>
    </r>
    <r>
      <rPr>
        <sz val="10"/>
        <color indexed="10"/>
        <rFont val="Calibri"/>
        <family val="2"/>
      </rPr>
      <t>：1.Delivery No. less than 16 digits.  2. Pls follow PO information to fill in "PO line item".   3. Lot No. requires less than 10 digits. 
4. Pls don't repeat upload for the same lot no. which already upload success in the same day.
5. If eCOA upload result is judged as "Reject", pls don't upload it again and contact IQC engineer immediately.</t>
    </r>
  </si>
  <si>
    <t>ICD
(inspection characteristic Description)</t>
    <phoneticPr fontId="28" type="noConversion"/>
  </si>
  <si>
    <t>Specification</t>
    <phoneticPr fontId="28" type="noConversion"/>
  </si>
  <si>
    <t>No</t>
  </si>
  <si>
    <t>Lot No.</t>
  </si>
  <si>
    <t>Quantity</t>
  </si>
  <si>
    <t>Mfg. Date</t>
  </si>
  <si>
    <t>Exp. Date</t>
  </si>
  <si>
    <t>Parameter</t>
    <phoneticPr fontId="28" type="noConversion"/>
  </si>
  <si>
    <t>Inspection Item</t>
  </si>
  <si>
    <t>Sample Size</t>
    <phoneticPr fontId="30" type="noConversion"/>
  </si>
  <si>
    <t>Upper Limit</t>
  </si>
  <si>
    <t>Target</t>
  </si>
  <si>
    <t>Lower Limit</t>
  </si>
  <si>
    <t>Unit</t>
  </si>
  <si>
    <t>INSPECT_VALUE1</t>
    <phoneticPr fontId="30" type="noConversion"/>
  </si>
  <si>
    <t>H2O</t>
  </si>
  <si>
    <t>-</t>
  </si>
  <si>
    <t>ppb</t>
  </si>
  <si>
    <t>CARBON_DIOXIDE_CO2_COC</t>
  </si>
  <si>
    <t>CO2</t>
  </si>
  <si>
    <t>THC_COC</t>
  </si>
  <si>
    <t>NITROGEN</t>
  </si>
  <si>
    <t>N2</t>
  </si>
  <si>
    <t>OXYGEN</t>
  </si>
  <si>
    <t>O2</t>
  </si>
  <si>
    <t>HYDROGEN</t>
  </si>
  <si>
    <t>ARGON</t>
  </si>
  <si>
    <t>Ar</t>
  </si>
  <si>
    <t>CO</t>
  </si>
  <si>
    <t>PURITY_COC</t>
  </si>
  <si>
    <t>Purity of component gas</t>
  </si>
  <si>
    <t>%</t>
  </si>
  <si>
    <t>出貨DO</t>
    <phoneticPr fontId="3" type="noConversion"/>
  </si>
  <si>
    <t>確認Po</t>
    <phoneticPr fontId="3" type="noConversion"/>
  </si>
  <si>
    <t>去掉&lt;</t>
    <phoneticPr fontId="3" type="noConversion"/>
  </si>
  <si>
    <t>AL-0065</t>
    <phoneticPr fontId="3" type="noConversion"/>
  </si>
  <si>
    <t>260806P06</t>
  </si>
  <si>
    <t>260806P06</t>
    <phoneticPr fontId="3" type="noConversion"/>
  </si>
  <si>
    <t xml:space="preserve">&lt;10 </t>
    <phoneticPr fontId="3"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</si>
</sst>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76" formatCode="yyyy/m/d;@"/>
    <numFmt numFmtId="177" formatCode="0_ "/>
    <numFmt numFmtId="178" formatCode="0.00_ ;[Red]\-0.00\ "/>
    <numFmt numFmtId="179" formatCode="0.000000"/>
    <numFmt numFmtId="180" formatCode="0_);[Red]\(0\)"/>
  </numFmts>
  <fonts count="37">
    <font>
      <sz val="12"/>
      <name val="新細明體"/>
      <family val="1"/>
      <charset val="136"/>
    </font>
    <font>
      <sz val="12"/>
      <name val="Arial"/>
      <family val="2"/>
    </font>
    <font>
      <b/>
      <sz val="10.5"/>
      <color indexed="8"/>
      <name val="Arial"/>
      <family val="2"/>
    </font>
    <font>
      <sz val="9"/>
      <name val="新細明體"/>
      <family val="1"/>
      <charset val="136"/>
    </font>
    <font>
      <sz val="9.5"/>
      <color indexed="8"/>
      <name val="Arial"/>
      <family val="2"/>
    </font>
    <font>
      <b/>
      <sz val="9.5"/>
      <color indexed="8"/>
      <name val="Trebuchet MS"/>
      <family val="2"/>
    </font>
    <font>
      <b/>
      <sz val="9.5"/>
      <name val="Trebuchet MS"/>
      <family val="2"/>
    </font>
    <font>
      <sz val="9.5"/>
      <name val="Arial"/>
      <family val="2"/>
    </font>
    <font>
      <i/>
      <sz val="9.5"/>
      <color indexed="8"/>
      <name val="Times New Roman"/>
      <family val="1"/>
    </font>
    <font>
      <sz val="9.5"/>
      <name val="Times New Roman"/>
      <family val="1"/>
    </font>
    <font>
      <sz val="9.5"/>
      <color indexed="8"/>
      <name val="新細明體"/>
      <family val="1"/>
      <charset val="136"/>
    </font>
    <font>
      <sz val="9.5"/>
      <name val="細明體"/>
      <family val="3"/>
      <charset val="136"/>
    </font>
    <font>
      <b/>
      <sz val="22"/>
      <name val="Arial"/>
      <family val="2"/>
    </font>
    <font>
      <b/>
      <sz val="20"/>
      <name val="Arial"/>
      <family val="2"/>
    </font>
    <font>
      <b/>
      <sz val="12"/>
      <name val="Arial"/>
      <family val="2"/>
    </font>
    <font>
      <b/>
      <sz val="16"/>
      <name val="Arial"/>
      <family val="2"/>
    </font>
    <font>
      <sz val="9.5"/>
      <color indexed="56"/>
      <name val="細明體"/>
      <family val="3"/>
      <charset val="136"/>
    </font>
    <font>
      <sz val="9.5"/>
      <color indexed="56"/>
      <name val="Arial"/>
      <family val="2"/>
    </font>
    <font>
      <sz val="9"/>
      <name val="Times New Roman"/>
      <family val="1"/>
    </font>
    <font>
      <sz val="12"/>
      <name val="新細明體"/>
      <family val="1"/>
      <charset val="136"/>
    </font>
    <font>
      <b/>
      <sz val="16"/>
      <name val="細明體"/>
      <family val="3"/>
      <charset val="136"/>
    </font>
    <font>
      <sz val="10"/>
      <name val="Calibri"/>
      <family val="2"/>
    </font>
    <font>
      <sz val="10"/>
      <color indexed="10"/>
      <name val="MingLiU"/>
      <family val="3"/>
      <charset val="136"/>
    </font>
    <font>
      <sz val="11"/>
      <name val="Calibri"/>
      <family val="2"/>
    </font>
    <font>
      <sz val="12"/>
      <name val="Calibri"/>
      <family val="2"/>
    </font>
    <font>
      <sz val="10"/>
      <name val="Times New Roman"/>
      <family val="1"/>
    </font>
    <font>
      <sz val="10"/>
      <color indexed="10"/>
      <name val="Calibri"/>
      <family val="2"/>
    </font>
    <font>
      <b/>
      <sz val="10"/>
      <color indexed="8"/>
      <name val="Calibri"/>
      <family val="2"/>
    </font>
    <font>
      <i/>
      <sz val="26"/>
      <name val="Times New Roman"/>
      <family val="1"/>
    </font>
    <font>
      <b/>
      <sz val="10"/>
      <name val="Calibri"/>
      <family val="2"/>
    </font>
    <font>
      <sz val="11"/>
      <name val="Times New Roman"/>
      <family val="1"/>
    </font>
    <font>
      <sz val="10"/>
      <color indexed="8"/>
      <name val="Calibri"/>
      <family val="2"/>
    </font>
    <font>
      <sz val="10"/>
      <name val="細明體"/>
      <family val="3"/>
      <charset val="136"/>
    </font>
    <font>
      <sz val="12"/>
      <name val="細明體"/>
      <family val="3"/>
      <charset val="136"/>
    </font>
    <font>
      <sz val="12"/>
      <color theme="1"/>
      <name val="新細明體"/>
      <family val="1"/>
      <charset val="136"/>
      <scheme val="minor"/>
    </font>
    <font>
      <sz val="9.5"/>
      <color theme="3"/>
      <name val="細明體"/>
      <family val="3"/>
      <charset val="136"/>
    </font>
    <font>
      <sz val="10"/>
      <color rgb="FFFF0000"/>
      <name val="Calibri"/>
      <family val="2"/>
    </font>
  </fonts>
  <fills count="8">
    <fill>
      <patternFill patternType="none"/>
    </fill>
    <fill>
      <patternFill patternType="gray125"/>
    </fill>
    <fill>
      <patternFill patternType="solid">
        <fgColor indexed="27"/>
        <bgColor indexed="64"/>
      </patternFill>
    </fill>
    <fill>
      <patternFill patternType="solid">
        <fgColor theme="0" tint="-0.14999847407452621"/>
        <bgColor indexed="64"/>
      </patternFill>
    </fill>
    <fill>
      <patternFill patternType="solid">
        <fgColor theme="0"/>
        <bgColor indexed="64"/>
      </patternFill>
    </fill>
    <fill>
      <patternFill patternType="solid">
        <fgColor rgb="FFFF0000"/>
        <bgColor indexed="64"/>
      </patternFill>
    </fill>
    <fill>
      <patternFill patternType="solid">
        <fgColor rgb="FFFFFF00"/>
        <bgColor indexed="64"/>
      </patternFill>
    </fill>
    <fill>
      <patternFill patternType="solid">
        <fgColor theme="9" tint="0.59999389629810485"/>
        <bgColor indexed="64"/>
      </patternFill>
    </fill>
  </fills>
  <borders count="26">
    <border>
      <left/>
      <right/>
      <top/>
      <bottom/>
      <diagonal/>
    </border>
    <border>
      <left/>
      <right/>
      <top style="thin">
        <color indexed="64"/>
      </top>
      <bottom style="thin">
        <color indexed="64"/>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style="dotted">
        <color indexed="64"/>
      </left>
      <right style="dotted">
        <color indexed="64"/>
      </right>
      <top/>
      <bottom style="dotted">
        <color indexed="64"/>
      </bottom>
      <diagonal/>
    </border>
    <border>
      <left style="dotted">
        <color indexed="64"/>
      </left>
      <right style="dotted">
        <color indexed="64"/>
      </right>
      <top style="dotted">
        <color indexed="64"/>
      </top>
      <bottom style="dotted">
        <color indexed="64"/>
      </bottom>
      <diagonal/>
    </border>
    <border>
      <left style="thin">
        <color indexed="64"/>
      </left>
      <right style="thin">
        <color indexed="64"/>
      </right>
      <top style="thin">
        <color indexed="64"/>
      </top>
      <bottom style="dotted">
        <color indexed="64"/>
      </bottom>
      <diagonal/>
    </border>
    <border>
      <left style="dashed">
        <color indexed="64"/>
      </left>
      <right style="dashed">
        <color indexed="64"/>
      </right>
      <top style="dashed">
        <color indexed="64"/>
      </top>
      <bottom style="dotted">
        <color indexed="64"/>
      </bottom>
      <diagonal/>
    </border>
    <border>
      <left style="dotted">
        <color indexed="64"/>
      </left>
      <right/>
      <top/>
      <bottom style="dotted">
        <color indexed="64"/>
      </bottom>
      <diagonal/>
    </border>
    <border>
      <left style="thin">
        <color indexed="8"/>
      </left>
      <right style="thin">
        <color indexed="8"/>
      </right>
      <top style="thin">
        <color indexed="8"/>
      </top>
      <bottom style="thin">
        <color indexed="8"/>
      </bottom>
      <diagonal/>
    </border>
    <border>
      <left style="thin">
        <color indexed="64"/>
      </left>
      <right style="thin">
        <color indexed="64"/>
      </right>
      <top/>
      <bottom style="thin">
        <color indexed="64"/>
      </bottom>
      <diagonal/>
    </border>
    <border>
      <left style="thin">
        <color indexed="8"/>
      </left>
      <right style="thin">
        <color indexed="8"/>
      </right>
      <top style="thin">
        <color indexed="8"/>
      </top>
      <bottom style="dotted">
        <color indexed="64"/>
      </bottom>
      <diagonal/>
    </border>
    <border>
      <left style="thin">
        <color indexed="64"/>
      </left>
      <right style="thin">
        <color indexed="64"/>
      </right>
      <top/>
      <bottom style="dotted">
        <color indexed="64"/>
      </bottom>
      <diagonal/>
    </border>
    <border>
      <left style="thin">
        <color indexed="64"/>
      </left>
      <right/>
      <top style="thin">
        <color indexed="64"/>
      </top>
      <bottom style="dotted">
        <color indexed="64"/>
      </bottom>
      <diagonal/>
    </border>
    <border>
      <left style="thin">
        <color indexed="64"/>
      </left>
      <right/>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style="thin">
        <color theme="0"/>
      </left>
      <right style="thin">
        <color theme="0"/>
      </right>
      <top style="thin">
        <color theme="0"/>
      </top>
      <bottom style="thin">
        <color theme="0"/>
      </bottom>
      <diagonal/>
    </border>
    <border>
      <left/>
      <right style="thin">
        <color theme="0"/>
      </right>
      <top style="thin">
        <color theme="0"/>
      </top>
      <bottom style="thin">
        <color theme="0"/>
      </bottom>
      <diagonal/>
    </border>
    <border>
      <left style="thin">
        <color theme="0"/>
      </left>
      <right style="thin">
        <color theme="0"/>
      </right>
      <top/>
      <bottom style="thin">
        <color theme="0"/>
      </bottom>
      <diagonal/>
    </border>
    <border>
      <left style="thin">
        <color theme="0"/>
      </left>
      <right style="thin">
        <color theme="0"/>
      </right>
      <top style="thin">
        <color theme="0"/>
      </top>
      <bottom/>
      <diagonal/>
    </border>
    <border>
      <left style="thin">
        <color rgb="FF000000"/>
      </left>
      <right/>
      <top style="thin">
        <color rgb="FF000000"/>
      </top>
      <bottom style="thin">
        <color rgb="FF000000"/>
      </bottom>
      <diagonal/>
    </border>
    <border>
      <left/>
      <right style="thin">
        <color theme="0"/>
      </right>
      <top/>
      <bottom style="thin">
        <color indexed="64"/>
      </bottom>
      <diagonal/>
    </border>
    <border>
      <left style="thin">
        <color theme="0"/>
      </left>
      <right/>
      <top style="thin">
        <color indexed="64"/>
      </top>
      <bottom/>
      <diagonal/>
    </border>
  </borders>
  <cellStyleXfs count="3">
    <xf numFmtId="0" fontId="0" fillId="0" borderId="0">
      <alignment vertical="center"/>
    </xf>
    <xf numFmtId="0" fontId="19" fillId="0" borderId="0"/>
    <xf numFmtId="0" fontId="34" fillId="0" borderId="0">
      <alignment vertical="center"/>
    </xf>
  </cellStyleXfs>
  <cellXfs count="106">
    <xf numFmtId="0" fontId="0" fillId="0" borderId="0" xfId="0">
      <alignment vertical="center"/>
    </xf>
    <xf numFmtId="0" fontId="1" fillId="0" borderId="0" xfId="0" applyFont="1">
      <alignment vertical="center"/>
    </xf>
    <xf numFmtId="0" fontId="2" fillId="0" borderId="0" xfId="0" applyFont="1" applyAlignment="1">
      <alignment vertical="top"/>
    </xf>
    <xf numFmtId="0" fontId="4" fillId="0" borderId="0" xfId="0" applyFont="1">
      <alignment vertical="center"/>
    </xf>
    <xf numFmtId="0" fontId="6" fillId="0" borderId="0" xfId="0" applyFont="1" applyAlignment="1">
      <alignment horizontal="left" vertical="top" wrapText="1"/>
    </xf>
    <xf numFmtId="0" fontId="5" fillId="0" borderId="0" xfId="0" applyFont="1" applyAlignment="1">
      <alignment horizontal="left" vertical="top" wrapText="1"/>
    </xf>
    <xf numFmtId="0" fontId="7" fillId="0" borderId="0" xfId="0" applyFont="1">
      <alignment vertical="center"/>
    </xf>
    <xf numFmtId="0" fontId="5" fillId="0" borderId="0" xfId="0" applyFont="1">
      <alignment vertical="center"/>
    </xf>
    <xf numFmtId="0" fontId="7" fillId="0" borderId="0" xfId="0" applyFont="1" applyAlignment="1">
      <alignment horizontal="left" vertical="center"/>
    </xf>
    <xf numFmtId="0" fontId="9" fillId="0" borderId="0" xfId="0" applyFont="1">
      <alignment vertical="center"/>
    </xf>
    <xf numFmtId="0" fontId="7" fillId="0" borderId="1" xfId="0" applyFont="1" applyBorder="1" applyAlignment="1">
      <alignment horizontal="left" vertical="center"/>
    </xf>
    <xf numFmtId="0" fontId="7" fillId="0" borderId="0" xfId="0" applyFont="1" applyAlignment="1">
      <alignment vertical="center" wrapText="1"/>
    </xf>
    <xf numFmtId="0" fontId="7" fillId="0" borderId="0" xfId="0" applyFont="1" applyAlignment="1">
      <alignment horizontal="center" vertical="center"/>
    </xf>
    <xf numFmtId="0" fontId="3" fillId="0" borderId="0" xfId="0" applyFont="1" applyAlignment="1">
      <alignment horizontal="left" vertical="center"/>
    </xf>
    <xf numFmtId="0" fontId="11" fillId="0" borderId="0" xfId="0" applyFont="1" applyAlignment="1">
      <alignment horizontal="left" vertical="center"/>
    </xf>
    <xf numFmtId="0" fontId="9" fillId="0" borderId="1" xfId="0" applyFont="1" applyBorder="1">
      <alignment vertical="center"/>
    </xf>
    <xf numFmtId="0" fontId="9" fillId="0" borderId="0" xfId="0" applyFont="1" applyAlignment="1">
      <alignment horizontal="right" vertical="center"/>
    </xf>
    <xf numFmtId="177" fontId="9" fillId="0" borderId="1" xfId="0" applyNumberFormat="1" applyFont="1" applyBorder="1" applyAlignment="1">
      <alignment horizontal="right" vertical="center"/>
    </xf>
    <xf numFmtId="0" fontId="9" fillId="0" borderId="2" xfId="0" applyFont="1" applyBorder="1">
      <alignment vertical="center"/>
    </xf>
    <xf numFmtId="49" fontId="21" fillId="0" borderId="3" xfId="1" applyNumberFormat="1" applyFont="1" applyBorder="1" applyAlignment="1">
      <alignment horizontal="center" vertical="center" wrapText="1"/>
    </xf>
    <xf numFmtId="0" fontId="21" fillId="3" borderId="3" xfId="1" applyFont="1" applyFill="1" applyBorder="1" applyAlignment="1">
      <alignment horizontal="center" vertical="center" wrapText="1"/>
    </xf>
    <xf numFmtId="0" fontId="21" fillId="0" borderId="19" xfId="1" applyFont="1" applyBorder="1" applyAlignment="1">
      <alignment horizontal="center" vertical="center" wrapText="1"/>
    </xf>
    <xf numFmtId="0" fontId="23" fillId="0" borderId="0" xfId="0" applyFont="1" applyAlignment="1">
      <alignment horizontal="center" vertical="center" wrapText="1"/>
    </xf>
    <xf numFmtId="0" fontId="23" fillId="0" borderId="0" xfId="0" applyFont="1" applyAlignment="1">
      <alignment horizontal="center" vertical="center"/>
    </xf>
    <xf numFmtId="0" fontId="21" fillId="0" borderId="3" xfId="1" applyFont="1" applyBorder="1" applyAlignment="1">
      <alignment horizontal="center" vertical="center" wrapText="1"/>
    </xf>
    <xf numFmtId="0" fontId="21" fillId="0" borderId="20" xfId="1" applyFont="1" applyBorder="1" applyAlignment="1">
      <alignment horizontal="center" vertical="center" wrapText="1"/>
    </xf>
    <xf numFmtId="0" fontId="21" fillId="0" borderId="19" xfId="1" applyFont="1" applyBorder="1" applyAlignment="1">
      <alignment horizontal="center" vertical="center"/>
    </xf>
    <xf numFmtId="0" fontId="21" fillId="0" borderId="21" xfId="0" applyFont="1" applyBorder="1">
      <alignment vertical="center"/>
    </xf>
    <xf numFmtId="0" fontId="24" fillId="0" borderId="22" xfId="0" applyFont="1" applyBorder="1">
      <alignment vertical="center"/>
    </xf>
    <xf numFmtId="49" fontId="27" fillId="4" borderId="3" xfId="0" applyNumberFormat="1" applyFont="1" applyFill="1" applyBorder="1" applyAlignment="1">
      <alignment horizontal="center" vertical="center" wrapText="1"/>
    </xf>
    <xf numFmtId="0" fontId="21" fillId="0" borderId="22" xfId="0" applyFont="1" applyBorder="1">
      <alignment vertical="center"/>
    </xf>
    <xf numFmtId="0" fontId="29" fillId="0" borderId="3" xfId="1" applyFont="1" applyBorder="1" applyAlignment="1">
      <alignment horizontal="center" vertical="center" wrapText="1"/>
    </xf>
    <xf numFmtId="178" fontId="29" fillId="0" borderId="3" xfId="1" applyNumberFormat="1" applyFont="1" applyBorder="1" applyAlignment="1">
      <alignment horizontal="center" vertical="center" wrapText="1"/>
    </xf>
    <xf numFmtId="14" fontId="29" fillId="0" borderId="4" xfId="1" applyNumberFormat="1" applyFont="1" applyBorder="1" applyAlignment="1">
      <alignment horizontal="center" vertical="center" wrapText="1"/>
    </xf>
    <xf numFmtId="49" fontId="31" fillId="2" borderId="5" xfId="0" applyNumberFormat="1" applyFont="1" applyFill="1" applyBorder="1" applyAlignment="1">
      <alignment horizontal="center" vertical="center" wrapText="1"/>
    </xf>
    <xf numFmtId="0" fontId="21" fillId="0" borderId="6" xfId="1" applyFont="1" applyBorder="1" applyAlignment="1">
      <alignment horizontal="center" vertical="center" wrapText="1"/>
    </xf>
    <xf numFmtId="2" fontId="21" fillId="4" borderId="6" xfId="1" applyNumberFormat="1" applyFont="1" applyFill="1" applyBorder="1" applyAlignment="1" applyProtection="1">
      <alignment horizontal="center" vertical="center" wrapText="1"/>
      <protection locked="0"/>
    </xf>
    <xf numFmtId="49" fontId="31" fillId="0" borderId="3" xfId="0" applyNumberFormat="1" applyFont="1" applyBorder="1" applyAlignment="1">
      <alignment horizontal="left" vertical="center" wrapText="1"/>
    </xf>
    <xf numFmtId="0" fontId="21" fillId="0" borderId="7" xfId="1" applyFont="1" applyBorder="1" applyAlignment="1">
      <alignment horizontal="center" vertical="center" wrapText="1"/>
    </xf>
    <xf numFmtId="49" fontId="21" fillId="4" borderId="3" xfId="0" applyNumberFormat="1" applyFont="1" applyFill="1" applyBorder="1" applyAlignment="1">
      <alignment horizontal="left" vertical="center" wrapText="1"/>
    </xf>
    <xf numFmtId="49" fontId="31" fillId="0" borderId="8" xfId="0" applyNumberFormat="1" applyFont="1" applyBorder="1" applyAlignment="1">
      <alignment horizontal="left" vertical="center" wrapText="1"/>
    </xf>
    <xf numFmtId="49" fontId="32" fillId="5" borderId="3" xfId="1" applyNumberFormat="1" applyFont="1" applyFill="1" applyBorder="1" applyAlignment="1" applyProtection="1">
      <alignment horizontal="center" vertical="center" wrapText="1"/>
      <protection locked="0"/>
    </xf>
    <xf numFmtId="0" fontId="1" fillId="6" borderId="0" xfId="0" applyFont="1" applyFill="1">
      <alignment vertical="center"/>
    </xf>
    <xf numFmtId="179" fontId="21" fillId="6" borderId="9" xfId="1" applyNumberFormat="1" applyFont="1" applyFill="1" applyBorder="1" applyAlignment="1">
      <alignment horizontal="center" vertical="center" wrapText="1"/>
    </xf>
    <xf numFmtId="0" fontId="31" fillId="6" borderId="6" xfId="2" applyFont="1" applyFill="1" applyBorder="1" applyAlignment="1">
      <alignment horizontal="center" vertical="center"/>
    </xf>
    <xf numFmtId="176" fontId="21" fillId="6" borderId="6" xfId="1" quotePrefix="1" applyNumberFormat="1" applyFont="1" applyFill="1" applyBorder="1" applyAlignment="1" applyProtection="1">
      <alignment horizontal="center" vertical="center" wrapText="1"/>
      <protection locked="0"/>
    </xf>
    <xf numFmtId="0" fontId="21" fillId="0" borderId="4" xfId="1" applyFont="1" applyBorder="1" applyAlignment="1">
      <alignment horizontal="center" vertical="center" wrapText="1"/>
    </xf>
    <xf numFmtId="14" fontId="21" fillId="6" borderId="10" xfId="1" quotePrefix="1" applyNumberFormat="1" applyFont="1" applyFill="1" applyBorder="1" applyAlignment="1" applyProtection="1">
      <alignment horizontal="center" vertical="center" wrapText="1"/>
      <protection locked="0"/>
    </xf>
    <xf numFmtId="0" fontId="33" fillId="0" borderId="0" xfId="0" applyFont="1">
      <alignment vertical="center"/>
    </xf>
    <xf numFmtId="49" fontId="27" fillId="0" borderId="3" xfId="0" applyNumberFormat="1" applyFont="1" applyBorder="1" applyAlignment="1">
      <alignment horizontal="center" vertical="center" wrapText="1"/>
    </xf>
    <xf numFmtId="49" fontId="29" fillId="0" borderId="3" xfId="1" applyNumberFormat="1" applyFont="1" applyBorder="1" applyAlignment="1">
      <alignment horizontal="center" vertical="center" wrapText="1"/>
    </xf>
    <xf numFmtId="49" fontId="31" fillId="0" borderId="3" xfId="0" applyNumberFormat="1" applyFont="1" applyBorder="1" applyAlignment="1">
      <alignment horizontal="center" vertical="center" wrapText="1"/>
    </xf>
    <xf numFmtId="49" fontId="31" fillId="0" borderId="11" xfId="0" applyNumberFormat="1" applyFont="1" applyBorder="1" applyAlignment="1">
      <alignment horizontal="center" vertical="center" wrapText="1"/>
    </xf>
    <xf numFmtId="179" fontId="21" fillId="0" borderId="3" xfId="1" applyNumberFormat="1" applyFont="1" applyBorder="1" applyAlignment="1">
      <alignment horizontal="center" vertical="center" wrapText="1"/>
    </xf>
    <xf numFmtId="179" fontId="21" fillId="0" borderId="12" xfId="1" applyNumberFormat="1" applyFont="1" applyBorder="1" applyAlignment="1">
      <alignment horizontal="center" vertical="center" wrapText="1"/>
    </xf>
    <xf numFmtId="179" fontId="21" fillId="0" borderId="4" xfId="1" applyNumberFormat="1" applyFont="1" applyBorder="1" applyAlignment="1">
      <alignment horizontal="center" vertical="center" wrapText="1"/>
    </xf>
    <xf numFmtId="49" fontId="31" fillId="0" borderId="8" xfId="0" applyNumberFormat="1" applyFont="1" applyBorder="1" applyAlignment="1">
      <alignment horizontal="center" vertical="center" wrapText="1"/>
    </xf>
    <xf numFmtId="49" fontId="31" fillId="0" borderId="13" xfId="0" applyNumberFormat="1" applyFont="1" applyBorder="1" applyAlignment="1">
      <alignment horizontal="center" vertical="center" wrapText="1"/>
    </xf>
    <xf numFmtId="179" fontId="21" fillId="0" borderId="8" xfId="1" applyNumberFormat="1" applyFont="1" applyBorder="1" applyAlignment="1">
      <alignment horizontal="center" vertical="center" wrapText="1"/>
    </xf>
    <xf numFmtId="179" fontId="21" fillId="0" borderId="14" xfId="1" applyNumberFormat="1" applyFont="1" applyBorder="1" applyAlignment="1">
      <alignment horizontal="center" vertical="center" wrapText="1"/>
    </xf>
    <xf numFmtId="179" fontId="21" fillId="0" borderId="15" xfId="1" applyNumberFormat="1" applyFont="1" applyBorder="1" applyAlignment="1">
      <alignment horizontal="center" vertical="center" wrapText="1"/>
    </xf>
    <xf numFmtId="14" fontId="21" fillId="7" borderId="23" xfId="0" applyNumberFormat="1" applyFont="1" applyFill="1" applyBorder="1" applyAlignment="1">
      <alignment horizontal="center" vertical="center" wrapText="1"/>
    </xf>
    <xf numFmtId="14" fontId="7" fillId="0" borderId="0" xfId="0" applyNumberFormat="1" applyFont="1" applyAlignment="1">
      <alignment horizontal="left" vertical="center"/>
    </xf>
    <xf numFmtId="49" fontId="21" fillId="0" borderId="4" xfId="1" applyNumberFormat="1" applyFont="1" applyBorder="1" applyAlignment="1">
      <alignment horizontal="center" vertical="center" wrapText="1"/>
    </xf>
    <xf numFmtId="0" fontId="21" fillId="0" borderId="17" xfId="1" applyFont="1" applyBorder="1" applyAlignment="1">
      <alignment horizontal="center" vertical="center" wrapText="1"/>
    </xf>
    <xf numFmtId="49" fontId="32" fillId="5" borderId="4" xfId="1" applyNumberFormat="1" applyFont="1" applyFill="1" applyBorder="1" applyAlignment="1" applyProtection="1">
      <alignment horizontal="center" vertical="center" wrapText="1"/>
      <protection locked="0"/>
    </xf>
    <xf numFmtId="0" fontId="21" fillId="5" borderId="17" xfId="1" applyFont="1" applyFill="1" applyBorder="1" applyAlignment="1" applyProtection="1">
      <alignment horizontal="center" vertical="center" wrapText="1"/>
      <protection locked="0"/>
    </xf>
    <xf numFmtId="49" fontId="25" fillId="6" borderId="4" xfId="1" applyNumberFormat="1" applyFont="1" applyFill="1" applyBorder="1" applyAlignment="1" applyProtection="1">
      <alignment horizontal="center" vertical="center" wrapText="1"/>
      <protection locked="0"/>
    </xf>
    <xf numFmtId="49" fontId="25" fillId="6" borderId="17" xfId="1" applyNumberFormat="1" applyFont="1" applyFill="1" applyBorder="1" applyAlignment="1" applyProtection="1">
      <alignment horizontal="center" vertical="center" wrapText="1"/>
      <protection locked="0"/>
    </xf>
    <xf numFmtId="0" fontId="21" fillId="0" borderId="4" xfId="1" applyFont="1" applyBorder="1" applyAlignment="1">
      <alignment horizontal="center" vertical="center" wrapText="1"/>
    </xf>
    <xf numFmtId="49" fontId="25" fillId="4" borderId="4" xfId="1" applyNumberFormat="1" applyFont="1" applyFill="1" applyBorder="1" applyAlignment="1">
      <alignment horizontal="center" vertical="center" wrapText="1"/>
    </xf>
    <xf numFmtId="49" fontId="25" fillId="4" borderId="17" xfId="1" applyNumberFormat="1" applyFont="1" applyFill="1" applyBorder="1" applyAlignment="1">
      <alignment horizontal="center" vertical="center" wrapText="1"/>
    </xf>
    <xf numFmtId="49" fontId="29" fillId="0" borderId="16" xfId="1" applyNumberFormat="1" applyFont="1" applyBorder="1" applyAlignment="1">
      <alignment horizontal="center" vertical="center" wrapText="1"/>
    </xf>
    <xf numFmtId="49" fontId="29" fillId="0" borderId="2" xfId="1" applyNumberFormat="1" applyFont="1" applyBorder="1" applyAlignment="1">
      <alignment horizontal="center" vertical="center" wrapText="1"/>
    </xf>
    <xf numFmtId="0" fontId="24" fillId="0" borderId="24" xfId="0" applyFont="1" applyBorder="1">
      <alignment vertical="center"/>
    </xf>
    <xf numFmtId="0" fontId="21" fillId="3" borderId="3" xfId="1" applyFont="1" applyFill="1" applyBorder="1" applyAlignment="1">
      <alignment horizontal="center" vertical="center" wrapText="1"/>
    </xf>
    <xf numFmtId="0" fontId="24" fillId="0" borderId="3" xfId="0" applyFont="1" applyBorder="1" applyAlignment="1">
      <alignment horizontal="center" vertical="center" wrapText="1"/>
    </xf>
    <xf numFmtId="0" fontId="2" fillId="0" borderId="0" xfId="0" applyFont="1" applyAlignment="1">
      <alignment horizontal="left" vertical="top" wrapText="1"/>
    </xf>
    <xf numFmtId="0" fontId="7" fillId="0" borderId="0" xfId="0" applyFont="1" applyAlignment="1">
      <alignment horizontal="left" vertical="center"/>
    </xf>
    <xf numFmtId="49" fontId="14" fillId="0" borderId="0" xfId="0" applyNumberFormat="1" applyFont="1" applyAlignment="1">
      <alignment horizontal="left" vertical="center"/>
    </xf>
    <xf numFmtId="0" fontId="12" fillId="0" borderId="0" xfId="0" applyFont="1" applyAlignment="1">
      <alignment horizontal="center" vertical="center"/>
    </xf>
    <xf numFmtId="0" fontId="36" fillId="4" borderId="25" xfId="1" applyFont="1" applyFill="1" applyBorder="1" applyAlignment="1">
      <alignment horizontal="left" vertical="top" wrapText="1"/>
    </xf>
    <xf numFmtId="0" fontId="36" fillId="4" borderId="18" xfId="1" applyFont="1" applyFill="1" applyBorder="1" applyAlignment="1">
      <alignment horizontal="left" vertical="top" wrapText="1"/>
    </xf>
    <xf numFmtId="0" fontId="15" fillId="0" borderId="0" xfId="0" applyFont="1" applyAlignment="1">
      <alignment horizontal="center" vertical="center"/>
    </xf>
    <xf numFmtId="0" fontId="8" fillId="0" borderId="2" xfId="0" applyFont="1" applyBorder="1" applyAlignment="1">
      <alignment horizontal="center" vertical="center"/>
    </xf>
    <xf numFmtId="0" fontId="8" fillId="0" borderId="2" xfId="0" applyFont="1" applyBorder="1" applyAlignment="1">
      <alignment horizontal="center" vertical="top" wrapText="1"/>
    </xf>
    <xf numFmtId="0" fontId="7" fillId="0" borderId="0" xfId="0" quotePrefix="1" applyFont="1" applyAlignment="1">
      <alignment horizontal="left" vertical="center"/>
    </xf>
    <xf numFmtId="176" fontId="7" fillId="0" borderId="0" xfId="0" applyNumberFormat="1" applyFont="1" applyAlignment="1">
      <alignment horizontal="left" vertical="center"/>
    </xf>
    <xf numFmtId="14" fontId="7" fillId="0" borderId="0" xfId="0" applyNumberFormat="1" applyFont="1" applyAlignment="1">
      <alignment horizontal="left" vertical="center"/>
    </xf>
    <xf numFmtId="0" fontId="1" fillId="0" borderId="0" xfId="0" applyFont="1" applyAlignment="1">
      <alignment horizontal="center" vertical="center"/>
    </xf>
    <xf numFmtId="0" fontId="7" fillId="0" borderId="0" xfId="0" applyFont="1" applyAlignment="1">
      <alignment horizontal="left" vertical="center" wrapText="1"/>
    </xf>
    <xf numFmtId="0" fontId="14" fillId="0" borderId="0" xfId="0" applyFont="1" applyAlignment="1">
      <alignment horizontal="left" vertical="center"/>
    </xf>
    <xf numFmtId="0" fontId="13" fillId="0" borderId="0" xfId="0" applyFont="1" applyAlignment="1">
      <alignment horizontal="center" vertical="center"/>
    </xf>
    <xf numFmtId="0" fontId="7" fillId="0" borderId="1" xfId="0" applyFont="1" applyBorder="1" applyAlignment="1">
      <alignment horizontal="left" vertical="center"/>
    </xf>
    <xf numFmtId="0" fontId="9" fillId="0" borderId="2" xfId="0" applyFont="1" applyBorder="1" applyAlignment="1">
      <alignment horizontal="center" vertical="center"/>
    </xf>
    <xf numFmtId="0" fontId="11" fillId="0" borderId="0" xfId="0" applyFont="1" applyAlignment="1">
      <alignment horizontal="left" vertical="center"/>
    </xf>
    <xf numFmtId="0" fontId="9" fillId="0" borderId="1" xfId="0" applyFont="1" applyBorder="1" applyAlignment="1">
      <alignment horizontal="center" vertical="center"/>
    </xf>
    <xf numFmtId="0" fontId="4" fillId="0" borderId="0" xfId="0" applyFont="1" applyAlignment="1">
      <alignment horizontal="left" vertical="center" wrapText="1"/>
    </xf>
    <xf numFmtId="0" fontId="7" fillId="0" borderId="0" xfId="0" applyFont="1" applyAlignment="1">
      <alignment horizontal="center" vertical="center" wrapText="1"/>
    </xf>
    <xf numFmtId="0" fontId="35" fillId="0" borderId="0" xfId="0" applyFont="1" applyAlignment="1">
      <alignment horizontal="left" vertical="center"/>
    </xf>
    <xf numFmtId="0" fontId="7" fillId="0" borderId="0" xfId="0" applyFont="1" applyAlignment="1">
      <alignment horizontal="center" vertical="center"/>
    </xf>
    <xf numFmtId="0" fontId="7" fillId="0" borderId="2" xfId="0" applyFont="1" applyBorder="1" applyAlignment="1">
      <alignment horizontal="left" vertical="center"/>
    </xf>
    <xf numFmtId="49" fontId="9" fillId="0" borderId="1" xfId="0" applyNumberFormat="1" applyFont="1" applyBorder="1" applyAlignment="1">
      <alignment horizontal="center" vertical="center"/>
    </xf>
    <xf numFmtId="180" fontId="9" fillId="0" borderId="2" xfId="0" applyNumberFormat="1" applyFont="1" applyBorder="1" applyAlignment="1">
      <alignment horizontal="right" vertical="center"/>
    </xf>
    <xf numFmtId="180" fontId="9" fillId="0" borderId="1" xfId="0" applyNumberFormat="1" applyFont="1" applyBorder="1" applyAlignment="1">
      <alignment horizontal="right" vertical="center"/>
    </xf>
    <xf numFmtId="180" fontId="9" fillId="0" borderId="1" xfId="0" applyNumberFormat="1" applyFont="1" applyBorder="1">
      <alignment vertical="center"/>
    </xf>
  </cellXfs>
  <cellStyles count="3">
    <cellStyle name="??&amp;_x0012_?&amp;_x000b_?_x0008_*_x0007_?_x0007__x0001__x0001_" xfId="1" xr:uid="{850A5D03-63FB-4B87-B1CD-7E4BA73BC80E}"/>
    <cellStyle name="一般" xfId="0" builtinId="0"/>
    <cellStyle name="一般 5" xfId="2" xr:uid="{172E1042-ED3E-457E-9289-341BD7E2B9B9}"/>
  </cellStyles>
  <dxfs count="1">
    <dxf>
      <font>
        <color rgb="FF9C0006"/>
      </font>
      <fill>
        <patternFill>
          <bgColor rgb="FFFFC7CE"/>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emf"/><Relationship Id="rId2" Type="http://schemas.openxmlformats.org/officeDocument/2006/relationships/image" Target="../media/image2.emf"/><Relationship Id="rId1" Type="http://schemas.openxmlformats.org/officeDocument/2006/relationships/image" Target="../media/image1.jpeg"/><Relationship Id="rId6" Type="http://schemas.openxmlformats.org/officeDocument/2006/relationships/image" Target="../media/image6.jpeg"/><Relationship Id="rId5" Type="http://schemas.openxmlformats.org/officeDocument/2006/relationships/image" Target="../media/image5.pn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5</xdr:col>
      <xdr:colOff>517071</xdr:colOff>
      <xdr:row>0</xdr:row>
      <xdr:rowOff>0</xdr:rowOff>
    </xdr:from>
    <xdr:to>
      <xdr:col>9</xdr:col>
      <xdr:colOff>925286</xdr:colOff>
      <xdr:row>1</xdr:row>
      <xdr:rowOff>674914</xdr:rowOff>
    </xdr:to>
    <xdr:pic>
      <xdr:nvPicPr>
        <xdr:cNvPr id="1270" name="Picture 1">
          <a:extLst>
            <a:ext uri="{FF2B5EF4-FFF2-40B4-BE49-F238E27FC236}">
              <a16:creationId xmlns:a16="http://schemas.microsoft.com/office/drawing/2014/main" id="{4BAE70A8-72D4-14D4-F6EE-8C192CA9986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793671" y="0"/>
          <a:ext cx="2955472" cy="86541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10</xdr:col>
      <xdr:colOff>566057</xdr:colOff>
      <xdr:row>39</xdr:row>
      <xdr:rowOff>65314</xdr:rowOff>
    </xdr:from>
    <xdr:to>
      <xdr:col>13</xdr:col>
      <xdr:colOff>70757</xdr:colOff>
      <xdr:row>42</xdr:row>
      <xdr:rowOff>152400</xdr:rowOff>
    </xdr:to>
    <xdr:pic>
      <xdr:nvPicPr>
        <xdr:cNvPr id="1271" name="Picture 143">
          <a:extLst>
            <a:ext uri="{FF2B5EF4-FFF2-40B4-BE49-F238E27FC236}">
              <a16:creationId xmlns:a16="http://schemas.microsoft.com/office/drawing/2014/main" id="{85AE1841-2171-E5D9-9A9F-8AE8C512442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326086" y="10499271"/>
          <a:ext cx="1415143" cy="65858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10</xdr:col>
      <xdr:colOff>587829</xdr:colOff>
      <xdr:row>43</xdr:row>
      <xdr:rowOff>32657</xdr:rowOff>
    </xdr:from>
    <xdr:to>
      <xdr:col>13</xdr:col>
      <xdr:colOff>244929</xdr:colOff>
      <xdr:row>46</xdr:row>
      <xdr:rowOff>48986</xdr:rowOff>
    </xdr:to>
    <xdr:pic>
      <xdr:nvPicPr>
        <xdr:cNvPr id="1272" name="Picture 1">
          <a:extLst>
            <a:ext uri="{FF2B5EF4-FFF2-40B4-BE49-F238E27FC236}">
              <a16:creationId xmlns:a16="http://schemas.microsoft.com/office/drawing/2014/main" id="{68641C27-07AA-8FB7-DAA3-9C9DB0E01C3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7347857" y="11228614"/>
          <a:ext cx="1567543" cy="58782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10</xdr:col>
      <xdr:colOff>500743</xdr:colOff>
      <xdr:row>35</xdr:row>
      <xdr:rowOff>223157</xdr:rowOff>
    </xdr:from>
    <xdr:to>
      <xdr:col>13</xdr:col>
      <xdr:colOff>54429</xdr:colOff>
      <xdr:row>38</xdr:row>
      <xdr:rowOff>97971</xdr:rowOff>
    </xdr:to>
    <xdr:pic>
      <xdr:nvPicPr>
        <xdr:cNvPr id="1273" name="Picture 1">
          <a:extLst>
            <a:ext uri="{FF2B5EF4-FFF2-40B4-BE49-F238E27FC236}">
              <a16:creationId xmlns:a16="http://schemas.microsoft.com/office/drawing/2014/main" id="{FEEECA39-3FB0-997F-6267-F79A9395797F}"/>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7260771" y="9813471"/>
          <a:ext cx="1464129" cy="52795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11</xdr:col>
      <xdr:colOff>0</xdr:colOff>
      <xdr:row>31</xdr:row>
      <xdr:rowOff>87086</xdr:rowOff>
    </xdr:from>
    <xdr:to>
      <xdr:col>13</xdr:col>
      <xdr:colOff>228600</xdr:colOff>
      <xdr:row>35</xdr:row>
      <xdr:rowOff>239486</xdr:rowOff>
    </xdr:to>
    <xdr:pic>
      <xdr:nvPicPr>
        <xdr:cNvPr id="1274" name="Picture 5">
          <a:extLst>
            <a:ext uri="{FF2B5EF4-FFF2-40B4-BE49-F238E27FC236}">
              <a16:creationId xmlns:a16="http://schemas.microsoft.com/office/drawing/2014/main" id="{7464ECC4-1586-EE55-ADDA-378D43D27E2A}"/>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rcRect t="16875" b="28751"/>
        <a:stretch>
          <a:fillRect/>
        </a:stretch>
      </xdr:blipFill>
      <xdr:spPr bwMode="auto">
        <a:xfrm>
          <a:off x="7396843" y="9013371"/>
          <a:ext cx="1502228" cy="81642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8</xdr:col>
      <xdr:colOff>5443</xdr:colOff>
      <xdr:row>34</xdr:row>
      <xdr:rowOff>87086</xdr:rowOff>
    </xdr:from>
    <xdr:to>
      <xdr:col>9</xdr:col>
      <xdr:colOff>533400</xdr:colOff>
      <xdr:row>38</xdr:row>
      <xdr:rowOff>38100</xdr:rowOff>
    </xdr:to>
    <xdr:pic>
      <xdr:nvPicPr>
        <xdr:cNvPr id="1275" name="Picture 1">
          <a:extLst>
            <a:ext uri="{FF2B5EF4-FFF2-40B4-BE49-F238E27FC236}">
              <a16:creationId xmlns:a16="http://schemas.microsoft.com/office/drawing/2014/main" id="{706073C7-DA04-059F-9214-AD254170062C}"/>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rcRect/>
        <a:stretch>
          <a:fillRect/>
        </a:stretch>
      </xdr:blipFill>
      <xdr:spPr bwMode="auto">
        <a:xfrm>
          <a:off x="5192486" y="9525000"/>
          <a:ext cx="1164771" cy="75655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2020F7-D5BD-4FC1-904B-BFFBCDBC5161}">
  <sheetPr>
    <pageSetUpPr fitToPage="1"/>
  </sheetPr>
  <dimension ref="A1:Y47"/>
  <sheetViews>
    <sheetView tabSelected="1" topLeftCell="A13" zoomScaleNormal="100" zoomScaleSheetLayoutView="100" workbookViewId="0">
      <selection activeCell="E24" sqref="E24:E31"/>
    </sheetView>
  </sheetViews>
  <sheetFormatPr defaultColWidth="9" defaultRowHeight="15"/>
  <cols>
    <col min="1" max="2" width="9" style="1"/>
    <col min="3" max="3" width="10.3046875" style="1" bestFit="1" customWidth="1"/>
    <col min="4" max="9" width="9" style="1"/>
    <col min="10" max="10" width="13.23046875" style="1" customWidth="1"/>
    <col min="11" max="19" width="9" style="1"/>
    <col min="20" max="20" width="10.3046875" style="1" customWidth="1"/>
    <col min="21" max="23" width="9" style="1"/>
    <col min="24" max="25" width="10.07421875" style="1" bestFit="1" customWidth="1"/>
    <col min="26" max="16384" width="9" style="1"/>
  </cols>
  <sheetData>
    <row r="1" spans="1:25">
      <c r="A1" s="1" t="s">
        <v>0</v>
      </c>
    </row>
    <row r="2" spans="1:25" ht="54" customHeight="1">
      <c r="L2" s="19" t="s">
        <v>65</v>
      </c>
      <c r="M2" s="41" t="s">
        <v>118</v>
      </c>
      <c r="N2" s="24" t="s">
        <v>66</v>
      </c>
      <c r="O2" s="61" t="str">
        <f ca="1">TEXT(I41,"yyyy/mm/dd")</f>
        <v>2026/10/12</v>
      </c>
      <c r="P2" s="24" t="s">
        <v>67</v>
      </c>
      <c r="Q2" s="19" t="s">
        <v>68</v>
      </c>
      <c r="R2" s="19" t="s">
        <v>69</v>
      </c>
      <c r="S2" s="63" t="s">
        <v>70</v>
      </c>
      <c r="T2" s="64"/>
      <c r="U2" s="20" t="s">
        <v>71</v>
      </c>
      <c r="V2" s="20" t="s">
        <v>72</v>
      </c>
      <c r="W2" s="21"/>
      <c r="X2" s="21"/>
    </row>
    <row r="3" spans="1:25" ht="21.75" customHeight="1">
      <c r="A3" s="77"/>
      <c r="B3" s="77"/>
      <c r="C3" s="77"/>
      <c r="D3" s="77"/>
      <c r="H3" s="2" t="s">
        <v>1</v>
      </c>
      <c r="I3" s="2"/>
      <c r="J3" s="2"/>
      <c r="K3" s="2"/>
      <c r="L3" s="24" t="s">
        <v>73</v>
      </c>
      <c r="M3" s="22" t="s">
        <v>74</v>
      </c>
      <c r="N3" s="24" t="s">
        <v>75</v>
      </c>
      <c r="O3" s="23" t="s">
        <v>76</v>
      </c>
      <c r="P3" s="24" t="s">
        <v>77</v>
      </c>
      <c r="Q3" s="24">
        <v>4</v>
      </c>
      <c r="R3" s="19" t="s">
        <v>78</v>
      </c>
      <c r="S3" s="65" t="s">
        <v>119</v>
      </c>
      <c r="T3" s="66"/>
      <c r="U3" s="75" t="s">
        <v>79</v>
      </c>
      <c r="V3" s="76"/>
      <c r="W3" s="25"/>
      <c r="X3" s="21"/>
    </row>
    <row r="4" spans="1:25" ht="25.75">
      <c r="L4" s="24" t="s">
        <v>80</v>
      </c>
      <c r="M4" s="67" t="s">
        <v>81</v>
      </c>
      <c r="N4" s="68"/>
      <c r="O4" s="24" t="s">
        <v>82</v>
      </c>
      <c r="P4" s="69">
        <v>1048699</v>
      </c>
      <c r="Q4" s="64"/>
      <c r="R4" s="46" t="s">
        <v>83</v>
      </c>
      <c r="S4" s="70" t="s">
        <v>84</v>
      </c>
      <c r="T4" s="71"/>
      <c r="U4" s="20"/>
      <c r="V4" s="20"/>
      <c r="W4" s="25"/>
      <c r="X4" s="21"/>
    </row>
    <row r="5" spans="1:25" ht="40.5" customHeight="1">
      <c r="A5" s="80" t="s">
        <v>2</v>
      </c>
      <c r="B5" s="80"/>
      <c r="C5" s="80"/>
      <c r="D5" s="80"/>
      <c r="E5" s="80"/>
      <c r="F5" s="80"/>
      <c r="G5" s="80"/>
      <c r="H5" s="80"/>
      <c r="I5" s="80"/>
      <c r="J5" s="80"/>
      <c r="L5" s="81" t="s">
        <v>85</v>
      </c>
      <c r="M5" s="82"/>
      <c r="N5" s="82"/>
      <c r="O5" s="82"/>
      <c r="P5" s="82"/>
      <c r="Q5" s="82"/>
      <c r="R5" s="82"/>
      <c r="S5" s="82"/>
      <c r="T5" s="82"/>
      <c r="U5" s="82"/>
      <c r="V5" s="82"/>
      <c r="W5" s="26"/>
      <c r="X5" s="27"/>
    </row>
    <row r="6" spans="1:25" ht="28.5" customHeight="1">
      <c r="A6" s="83" t="s">
        <v>54</v>
      </c>
      <c r="B6" s="83"/>
      <c r="C6" s="83"/>
      <c r="D6" s="83"/>
      <c r="E6" s="83"/>
      <c r="F6" s="83"/>
      <c r="G6" s="83"/>
      <c r="H6" s="83"/>
      <c r="I6" s="83"/>
      <c r="J6" s="83"/>
      <c r="L6" s="28"/>
      <c r="M6" s="28"/>
      <c r="N6" s="28"/>
      <c r="O6" s="28"/>
      <c r="P6" s="28"/>
      <c r="Q6" s="29" t="s">
        <v>86</v>
      </c>
      <c r="R6" s="72" t="s">
        <v>87</v>
      </c>
      <c r="S6" s="73"/>
      <c r="T6" s="73"/>
      <c r="U6" s="73"/>
      <c r="V6" s="73"/>
      <c r="W6" s="74"/>
      <c r="X6" s="30"/>
    </row>
    <row r="7" spans="1:25" ht="25.75">
      <c r="A7" s="3" t="s">
        <v>32</v>
      </c>
      <c r="C7" s="79" t="s">
        <v>121</v>
      </c>
      <c r="D7" s="79"/>
      <c r="E7" s="79"/>
      <c r="F7" s="79"/>
      <c r="L7" s="31" t="s">
        <v>88</v>
      </c>
      <c r="M7" s="32" t="s">
        <v>89</v>
      </c>
      <c r="N7" s="32" t="s">
        <v>90</v>
      </c>
      <c r="O7" s="32" t="s">
        <v>91</v>
      </c>
      <c r="P7" s="33" t="s">
        <v>92</v>
      </c>
      <c r="Q7" s="29" t="s">
        <v>93</v>
      </c>
      <c r="R7" s="49" t="s">
        <v>94</v>
      </c>
      <c r="S7" s="49" t="s">
        <v>95</v>
      </c>
      <c r="T7" s="50" t="s">
        <v>96</v>
      </c>
      <c r="U7" s="50" t="s">
        <v>97</v>
      </c>
      <c r="V7" s="50" t="s">
        <v>98</v>
      </c>
      <c r="W7" s="50" t="s">
        <v>99</v>
      </c>
      <c r="X7" s="34" t="s">
        <v>100</v>
      </c>
      <c r="Y7" s="48" t="s">
        <v>120</v>
      </c>
    </row>
    <row r="8" spans="1:25" ht="25.75">
      <c r="A8" s="3" t="s">
        <v>3</v>
      </c>
      <c r="C8" s="91"/>
      <c r="D8" s="91"/>
      <c r="E8" s="91"/>
      <c r="F8" s="91"/>
      <c r="L8" s="35">
        <v>1</v>
      </c>
      <c r="M8" s="44" t="s">
        <v>122</v>
      </c>
      <c r="N8" s="36">
        <v>1</v>
      </c>
      <c r="O8" s="45">
        <v>46240</v>
      </c>
      <c r="P8" s="47" t="str">
        <f>TEXT($I$18,"yyyy/mm/dd")</f>
        <v>2029/08/06</v>
      </c>
      <c r="Q8" s="37" t="s">
        <v>101</v>
      </c>
      <c r="R8" s="51" t="s">
        <v>101</v>
      </c>
      <c r="S8" s="52">
        <v>1</v>
      </c>
      <c r="T8" s="53">
        <v>1000</v>
      </c>
      <c r="U8" s="53" t="s">
        <v>102</v>
      </c>
      <c r="V8" s="54" t="s">
        <v>102</v>
      </c>
      <c r="W8" s="55" t="s">
        <v>103</v>
      </c>
      <c r="X8" s="42">
        <f>ROUND(Y8,0)</f>
        <v>330</v>
      </c>
      <c r="Y8" s="1">
        <v>330</v>
      </c>
    </row>
    <row r="9" spans="1:25" ht="38.6">
      <c r="L9" s="38">
        <v>2</v>
      </c>
      <c r="M9" s="44" t="s">
        <v>122</v>
      </c>
      <c r="N9" s="36">
        <v>1</v>
      </c>
      <c r="O9" s="45">
        <v>46240</v>
      </c>
      <c r="P9" s="47" t="str">
        <f t="shared" ref="P9:P16" si="0">TEXT($I$18,"yyyy/mm/dd")</f>
        <v>2029/08/06</v>
      </c>
      <c r="Q9" s="39" t="s">
        <v>104</v>
      </c>
      <c r="R9" s="51" t="s">
        <v>105</v>
      </c>
      <c r="S9" s="52">
        <v>1</v>
      </c>
      <c r="T9" s="53">
        <v>100</v>
      </c>
      <c r="U9" s="53" t="s">
        <v>102</v>
      </c>
      <c r="V9" s="54" t="s">
        <v>102</v>
      </c>
      <c r="W9" s="55" t="s">
        <v>103</v>
      </c>
      <c r="X9" s="42">
        <f t="shared" ref="X9:X15" si="1">ROUND(Y9,0)</f>
        <v>15</v>
      </c>
      <c r="Y9" s="1">
        <v>14.5</v>
      </c>
    </row>
    <row r="10" spans="1:25" ht="25.75">
      <c r="A10" s="4" t="s">
        <v>4</v>
      </c>
      <c r="L10" s="35">
        <v>3</v>
      </c>
      <c r="M10" s="44" t="s">
        <v>122</v>
      </c>
      <c r="N10" s="36">
        <v>1</v>
      </c>
      <c r="O10" s="45">
        <v>46240</v>
      </c>
      <c r="P10" s="47" t="str">
        <f t="shared" si="0"/>
        <v>2029/08/06</v>
      </c>
      <c r="Q10" s="37" t="s">
        <v>106</v>
      </c>
      <c r="R10" s="51" t="s">
        <v>47</v>
      </c>
      <c r="S10" s="52">
        <v>1</v>
      </c>
      <c r="T10" s="53">
        <v>100</v>
      </c>
      <c r="U10" s="53" t="s">
        <v>102</v>
      </c>
      <c r="V10" s="54" t="s">
        <v>102</v>
      </c>
      <c r="W10" s="55" t="s">
        <v>103</v>
      </c>
      <c r="X10" s="42">
        <f t="shared" si="1"/>
        <v>10</v>
      </c>
      <c r="Y10" s="1">
        <v>10</v>
      </c>
    </row>
    <row r="11" spans="1:25" ht="25.75">
      <c r="A11" s="3" t="s">
        <v>26</v>
      </c>
      <c r="L11" s="38">
        <v>4</v>
      </c>
      <c r="M11" s="44" t="s">
        <v>122</v>
      </c>
      <c r="N11" s="36">
        <v>1</v>
      </c>
      <c r="O11" s="45">
        <v>46240</v>
      </c>
      <c r="P11" s="47" t="str">
        <f t="shared" si="0"/>
        <v>2029/08/06</v>
      </c>
      <c r="Q11" s="37" t="s">
        <v>107</v>
      </c>
      <c r="R11" s="51" t="s">
        <v>108</v>
      </c>
      <c r="S11" s="52">
        <v>1</v>
      </c>
      <c r="T11" s="53">
        <v>500</v>
      </c>
      <c r="U11" s="53" t="s">
        <v>102</v>
      </c>
      <c r="V11" s="54" t="s">
        <v>102</v>
      </c>
      <c r="W11" s="55" t="s">
        <v>103</v>
      </c>
      <c r="X11" s="42">
        <f t="shared" si="1"/>
        <v>315</v>
      </c>
      <c r="Y11" s="1">
        <v>314.60000000000002</v>
      </c>
    </row>
    <row r="12" spans="1:25" ht="25.75">
      <c r="A12" s="92" t="s">
        <v>45</v>
      </c>
      <c r="B12" s="92"/>
      <c r="C12" s="92"/>
      <c r="D12" s="92"/>
      <c r="E12" s="92"/>
      <c r="F12" s="92"/>
      <c r="G12" s="92"/>
      <c r="H12" s="92"/>
      <c r="I12" s="92"/>
      <c r="J12" s="92"/>
      <c r="L12" s="35">
        <v>5</v>
      </c>
      <c r="M12" s="44" t="s">
        <v>122</v>
      </c>
      <c r="N12" s="36">
        <v>1</v>
      </c>
      <c r="O12" s="45">
        <v>46240</v>
      </c>
      <c r="P12" s="47" t="str">
        <f t="shared" si="0"/>
        <v>2029/08/06</v>
      </c>
      <c r="Q12" s="37" t="s">
        <v>109</v>
      </c>
      <c r="R12" s="51" t="s">
        <v>110</v>
      </c>
      <c r="S12" s="52">
        <v>1</v>
      </c>
      <c r="T12" s="53">
        <v>500</v>
      </c>
      <c r="U12" s="53" t="s">
        <v>102</v>
      </c>
      <c r="V12" s="54" t="s">
        <v>102</v>
      </c>
      <c r="W12" s="55" t="s">
        <v>103</v>
      </c>
      <c r="X12" s="42">
        <f t="shared" si="1"/>
        <v>93</v>
      </c>
      <c r="Y12" s="1" t="str">
        <f>SUBSTITUTE(E30,"&lt;","")</f>
        <v>93</v>
      </c>
    </row>
    <row r="13" spans="1:25" ht="25.75">
      <c r="A13" s="3" t="s">
        <v>5</v>
      </c>
      <c r="L13" s="35">
        <v>6</v>
      </c>
      <c r="M13" s="44" t="s">
        <v>122</v>
      </c>
      <c r="N13" s="36">
        <v>1</v>
      </c>
      <c r="O13" s="45">
        <v>46240</v>
      </c>
      <c r="P13" s="47" t="str">
        <f t="shared" si="0"/>
        <v>2029/08/06</v>
      </c>
      <c r="Q13" s="37" t="s">
        <v>111</v>
      </c>
      <c r="R13" s="51" t="s">
        <v>27</v>
      </c>
      <c r="S13" s="52">
        <v>1</v>
      </c>
      <c r="T13" s="53">
        <v>300</v>
      </c>
      <c r="U13" s="53" t="s">
        <v>102</v>
      </c>
      <c r="V13" s="54" t="s">
        <v>102</v>
      </c>
      <c r="W13" s="55" t="s">
        <v>103</v>
      </c>
      <c r="X13" s="42">
        <f t="shared" si="1"/>
        <v>59</v>
      </c>
      <c r="Y13" s="1">
        <v>58.7</v>
      </c>
    </row>
    <row r="14" spans="1:25" ht="25.75">
      <c r="A14" s="5" t="s">
        <v>6</v>
      </c>
      <c r="B14" s="6"/>
      <c r="C14" s="6"/>
      <c r="D14" s="6"/>
      <c r="E14" s="6"/>
      <c r="F14" s="7" t="s">
        <v>7</v>
      </c>
      <c r="G14" s="7"/>
      <c r="H14" s="6"/>
      <c r="L14" s="38">
        <v>7</v>
      </c>
      <c r="M14" s="44" t="s">
        <v>122</v>
      </c>
      <c r="N14" s="36">
        <v>1</v>
      </c>
      <c r="O14" s="45">
        <v>46240</v>
      </c>
      <c r="P14" s="47" t="str">
        <f t="shared" si="0"/>
        <v>2029/08/06</v>
      </c>
      <c r="Q14" s="37" t="s">
        <v>112</v>
      </c>
      <c r="R14" s="51" t="s">
        <v>113</v>
      </c>
      <c r="S14" s="52">
        <v>1</v>
      </c>
      <c r="T14" s="53">
        <v>500</v>
      </c>
      <c r="U14" s="53" t="s">
        <v>102</v>
      </c>
      <c r="V14" s="54" t="s">
        <v>102</v>
      </c>
      <c r="W14" s="55" t="s">
        <v>34</v>
      </c>
      <c r="X14" s="42">
        <f t="shared" si="1"/>
        <v>10</v>
      </c>
      <c r="Y14" s="1">
        <v>10</v>
      </c>
    </row>
    <row r="15" spans="1:25" ht="25.75">
      <c r="A15" s="78" t="s">
        <v>33</v>
      </c>
      <c r="B15" s="78"/>
      <c r="C15" s="78"/>
      <c r="D15" s="78" t="s">
        <v>123</v>
      </c>
      <c r="E15" s="78"/>
      <c r="F15" s="78" t="s">
        <v>40</v>
      </c>
      <c r="G15" s="78"/>
      <c r="H15" s="78"/>
      <c r="I15" s="78" t="str">
        <f>C7</f>
        <v>AL-0065</v>
      </c>
      <c r="J15" s="78"/>
      <c r="L15" s="35">
        <v>8</v>
      </c>
      <c r="M15" s="44" t="str">
        <f>D15</f>
        <v>260806P06</v>
      </c>
      <c r="N15" s="36">
        <v>1</v>
      </c>
      <c r="O15" s="45">
        <v>46240</v>
      </c>
      <c r="P15" s="47" t="str">
        <f t="shared" si="0"/>
        <v>2029/08/06</v>
      </c>
      <c r="Q15" s="37" t="s">
        <v>114</v>
      </c>
      <c r="R15" s="51" t="s">
        <v>114</v>
      </c>
      <c r="S15" s="52">
        <v>1</v>
      </c>
      <c r="T15" s="53">
        <v>100</v>
      </c>
      <c r="U15" s="53" t="s">
        <v>102</v>
      </c>
      <c r="V15" s="54" t="s">
        <v>102</v>
      </c>
      <c r="W15" s="55" t="s">
        <v>103</v>
      </c>
      <c r="X15" s="42">
        <f t="shared" si="1"/>
        <v>10</v>
      </c>
      <c r="Y15" s="1">
        <v>10</v>
      </c>
    </row>
    <row r="16" spans="1:25" ht="38.6">
      <c r="A16" s="78" t="s">
        <v>37</v>
      </c>
      <c r="B16" s="78"/>
      <c r="C16" s="78"/>
      <c r="D16" s="14" t="s">
        <v>36</v>
      </c>
      <c r="E16" s="8"/>
      <c r="F16" s="78" t="s">
        <v>41</v>
      </c>
      <c r="G16" s="78"/>
      <c r="H16" s="78"/>
      <c r="I16" s="86" t="s">
        <v>46</v>
      </c>
      <c r="J16" s="78"/>
      <c r="L16" s="38">
        <v>9</v>
      </c>
      <c r="M16" s="44" t="str">
        <f>D15</f>
        <v>260806P06</v>
      </c>
      <c r="N16" s="36">
        <v>1</v>
      </c>
      <c r="O16" s="45">
        <v>46240</v>
      </c>
      <c r="P16" s="47" t="str">
        <f t="shared" si="0"/>
        <v>2029/08/06</v>
      </c>
      <c r="Q16" s="40" t="s">
        <v>115</v>
      </c>
      <c r="R16" s="56" t="s">
        <v>116</v>
      </c>
      <c r="S16" s="57">
        <v>1</v>
      </c>
      <c r="T16" s="58" t="s">
        <v>102</v>
      </c>
      <c r="U16" s="59" t="s">
        <v>102</v>
      </c>
      <c r="V16" s="58">
        <v>99.999600000000001</v>
      </c>
      <c r="W16" s="60" t="s">
        <v>117</v>
      </c>
      <c r="X16" s="43">
        <v>99.999600000000001</v>
      </c>
    </row>
    <row r="17" spans="1:15">
      <c r="A17" s="78" t="s">
        <v>38</v>
      </c>
      <c r="B17" s="78"/>
      <c r="C17" s="78"/>
      <c r="D17" s="87">
        <v>46240</v>
      </c>
      <c r="E17" s="87"/>
      <c r="F17" s="78" t="s">
        <v>42</v>
      </c>
      <c r="G17" s="78"/>
      <c r="H17" s="78"/>
      <c r="I17" s="86" t="s">
        <v>46</v>
      </c>
      <c r="J17" s="78"/>
    </row>
    <row r="18" spans="1:15">
      <c r="A18" s="78" t="s">
        <v>39</v>
      </c>
      <c r="B18" s="78"/>
      <c r="C18" s="78"/>
      <c r="D18" s="87">
        <v>46240</v>
      </c>
      <c r="E18" s="87"/>
      <c r="F18" s="78" t="s">
        <v>43</v>
      </c>
      <c r="G18" s="78"/>
      <c r="H18" s="78"/>
      <c r="I18" s="88">
        <f>DATE(YEAR(D17)+3,MONTH(D17),DAY(D17))</f>
        <v>47336</v>
      </c>
      <c r="J18" s="78"/>
    </row>
    <row r="19" spans="1:15">
      <c r="A19" s="89"/>
      <c r="B19" s="89"/>
      <c r="C19" s="89"/>
    </row>
    <row r="20" spans="1:15">
      <c r="A20" s="7" t="s">
        <v>8</v>
      </c>
    </row>
    <row r="21" spans="1:15" ht="8.25" customHeight="1"/>
    <row r="22" spans="1:15" s="6" customFormat="1" ht="16.75" customHeight="1">
      <c r="A22" s="84" t="s">
        <v>9</v>
      </c>
      <c r="B22" s="84"/>
      <c r="C22" s="84" t="s">
        <v>10</v>
      </c>
      <c r="D22" s="84"/>
      <c r="E22" s="84" t="s">
        <v>11</v>
      </c>
      <c r="F22" s="84"/>
      <c r="G22" s="84" t="s">
        <v>12</v>
      </c>
      <c r="H22" s="84"/>
      <c r="I22" s="85" t="s">
        <v>13</v>
      </c>
      <c r="J22" s="85"/>
    </row>
    <row r="23" spans="1:15" s="6" customFormat="1" ht="16.75" customHeight="1">
      <c r="A23" s="93" t="s">
        <v>48</v>
      </c>
      <c r="B23" s="93"/>
      <c r="C23" s="102" t="s">
        <v>63</v>
      </c>
      <c r="D23" s="102"/>
      <c r="E23" s="102" t="s">
        <v>60</v>
      </c>
      <c r="F23" s="102"/>
      <c r="G23" s="96" t="s">
        <v>49</v>
      </c>
      <c r="H23" s="96"/>
      <c r="I23" s="96"/>
      <c r="J23" s="96"/>
    </row>
    <row r="24" spans="1:15" s="9" customFormat="1" ht="16.75" customHeight="1">
      <c r="A24" s="101" t="s">
        <v>27</v>
      </c>
      <c r="B24" s="101"/>
      <c r="C24" s="94" t="s">
        <v>61</v>
      </c>
      <c r="D24" s="94"/>
      <c r="E24" s="103">
        <v>58.7</v>
      </c>
      <c r="F24" s="18" t="s">
        <v>34</v>
      </c>
      <c r="G24" s="94" t="s">
        <v>23</v>
      </c>
      <c r="H24" s="94"/>
      <c r="I24" s="94" t="s">
        <v>30</v>
      </c>
      <c r="J24" s="94"/>
      <c r="M24" s="16"/>
      <c r="N24" s="9">
        <v>207</v>
      </c>
      <c r="O24" s="9" t="str">
        <f>IF(VALUE(SUBSTITUTE(E24, "&lt;", "")) &gt; N24, "NG", "OK")</f>
        <v>OK</v>
      </c>
    </row>
    <row r="25" spans="1:15" s="9" customFormat="1" ht="16.75" customHeight="1">
      <c r="A25" s="93" t="s">
        <v>19</v>
      </c>
      <c r="B25" s="93"/>
      <c r="C25" s="94" t="s">
        <v>50</v>
      </c>
      <c r="D25" s="94"/>
      <c r="E25" s="104">
        <v>314.60000000000002</v>
      </c>
      <c r="F25" s="15" t="s">
        <v>34</v>
      </c>
      <c r="G25" s="94" t="s">
        <v>23</v>
      </c>
      <c r="H25" s="94"/>
      <c r="I25" s="94" t="s">
        <v>30</v>
      </c>
      <c r="J25" s="94"/>
      <c r="M25" s="16"/>
    </row>
    <row r="26" spans="1:15" s="9" customFormat="1" ht="16.75" customHeight="1">
      <c r="A26" s="93" t="s">
        <v>52</v>
      </c>
      <c r="B26" s="93"/>
      <c r="C26" s="94" t="s">
        <v>51</v>
      </c>
      <c r="D26" s="94"/>
      <c r="E26" s="104" t="s">
        <v>124</v>
      </c>
      <c r="F26" s="15" t="s">
        <v>34</v>
      </c>
      <c r="G26" s="94" t="s">
        <v>23</v>
      </c>
      <c r="H26" s="94"/>
      <c r="I26" s="94" t="s">
        <v>30</v>
      </c>
      <c r="J26" s="94"/>
      <c r="M26" s="16"/>
    </row>
    <row r="27" spans="1:15" s="9" customFormat="1" ht="16.75" customHeight="1">
      <c r="A27" s="93" t="s">
        <v>20</v>
      </c>
      <c r="B27" s="93"/>
      <c r="C27" s="94" t="s">
        <v>62</v>
      </c>
      <c r="D27" s="94"/>
      <c r="E27" s="104" t="s">
        <v>124</v>
      </c>
      <c r="F27" s="15" t="s">
        <v>34</v>
      </c>
      <c r="G27" s="94" t="s">
        <v>24</v>
      </c>
      <c r="H27" s="94"/>
      <c r="I27" s="94" t="s">
        <v>30</v>
      </c>
      <c r="J27" s="94"/>
      <c r="M27" s="16"/>
    </row>
    <row r="28" spans="1:15" s="9" customFormat="1" ht="16.75" customHeight="1">
      <c r="A28" s="93" t="s">
        <v>21</v>
      </c>
      <c r="B28" s="93"/>
      <c r="C28" s="94" t="s">
        <v>62</v>
      </c>
      <c r="D28" s="94"/>
      <c r="E28" s="104">
        <v>14.5</v>
      </c>
      <c r="F28" s="15" t="s">
        <v>34</v>
      </c>
      <c r="G28" s="94" t="s">
        <v>31</v>
      </c>
      <c r="H28" s="94"/>
      <c r="I28" s="94" t="s">
        <v>30</v>
      </c>
      <c r="J28" s="94"/>
      <c r="M28" s="16"/>
    </row>
    <row r="29" spans="1:15" s="9" customFormat="1" ht="16.75" customHeight="1">
      <c r="A29" s="10" t="s">
        <v>47</v>
      </c>
      <c r="B29" s="10"/>
      <c r="C29" s="96" t="s">
        <v>62</v>
      </c>
      <c r="D29" s="96"/>
      <c r="E29" s="104" t="s">
        <v>124</v>
      </c>
      <c r="F29" s="15" t="s">
        <v>34</v>
      </c>
      <c r="G29" s="94" t="s">
        <v>31</v>
      </c>
      <c r="H29" s="94"/>
      <c r="I29" s="94" t="s">
        <v>64</v>
      </c>
      <c r="J29" s="94"/>
      <c r="M29" s="16"/>
    </row>
    <row r="30" spans="1:15" s="9" customFormat="1" ht="16.75" customHeight="1">
      <c r="A30" s="10" t="s">
        <v>28</v>
      </c>
      <c r="B30" s="10"/>
      <c r="C30" s="94" t="s">
        <v>50</v>
      </c>
      <c r="D30" s="94"/>
      <c r="E30" s="105">
        <f>M30*1000</f>
        <v>93</v>
      </c>
      <c r="F30" s="15" t="s">
        <v>34</v>
      </c>
      <c r="G30" s="96" t="s">
        <v>29</v>
      </c>
      <c r="H30" s="96"/>
      <c r="I30" s="94" t="s">
        <v>30</v>
      </c>
      <c r="J30" s="94"/>
      <c r="M30" s="16">
        <v>9.2999999999999999E-2</v>
      </c>
    </row>
    <row r="31" spans="1:15" s="9" customFormat="1" ht="16.75" customHeight="1">
      <c r="A31" s="93" t="s">
        <v>22</v>
      </c>
      <c r="B31" s="93"/>
      <c r="C31" s="96" t="s">
        <v>53</v>
      </c>
      <c r="D31" s="96"/>
      <c r="E31" s="105">
        <v>330</v>
      </c>
      <c r="F31" s="15" t="s">
        <v>34</v>
      </c>
      <c r="G31" s="96" t="s">
        <v>14</v>
      </c>
      <c r="H31" s="96"/>
      <c r="I31" s="94" t="s">
        <v>30</v>
      </c>
      <c r="J31" s="94"/>
      <c r="M31" s="17">
        <v>330</v>
      </c>
    </row>
    <row r="32" spans="1:15" s="6" customFormat="1" ht="12"/>
    <row r="33" spans="1:10" s="6" customFormat="1" ht="14.25" customHeight="1">
      <c r="A33" s="3" t="s">
        <v>15</v>
      </c>
      <c r="G33" s="11"/>
      <c r="H33" s="90" t="s">
        <v>55</v>
      </c>
      <c r="I33" s="90"/>
      <c r="J33" s="90"/>
    </row>
    <row r="34" spans="1:10" s="6" customFormat="1" ht="14.25" customHeight="1">
      <c r="A34" s="3" t="s">
        <v>16</v>
      </c>
      <c r="G34" s="11"/>
      <c r="H34" s="90" t="s">
        <v>56</v>
      </c>
      <c r="I34" s="90"/>
      <c r="J34" s="90"/>
    </row>
    <row r="35" spans="1:10" s="6" customFormat="1" ht="12">
      <c r="H35" s="98"/>
      <c r="I35" s="98"/>
      <c r="J35" s="98"/>
    </row>
    <row r="36" spans="1:10" s="6" customFormat="1" ht="21.75" customHeight="1">
      <c r="A36" s="97"/>
      <c r="B36" s="97"/>
      <c r="C36" s="97"/>
      <c r="D36" s="97"/>
      <c r="E36" s="97"/>
      <c r="F36" s="97"/>
      <c r="H36" s="90" t="s">
        <v>25</v>
      </c>
      <c r="I36" s="90"/>
      <c r="J36" s="90"/>
    </row>
    <row r="37" spans="1:10">
      <c r="A37" s="97"/>
      <c r="B37" s="97"/>
      <c r="C37" s="97"/>
      <c r="D37" s="97"/>
      <c r="E37" s="97"/>
      <c r="F37" s="97"/>
      <c r="H37" s="98"/>
      <c r="I37" s="98"/>
      <c r="J37" s="98"/>
    </row>
    <row r="38" spans="1:10">
      <c r="A38" s="6"/>
      <c r="H38" s="78" t="s">
        <v>17</v>
      </c>
      <c r="I38" s="78"/>
      <c r="J38" s="78"/>
    </row>
    <row r="39" spans="1:10">
      <c r="H39" s="100"/>
      <c r="I39" s="100"/>
      <c r="J39" s="100"/>
    </row>
    <row r="40" spans="1:10">
      <c r="H40" s="78"/>
      <c r="I40" s="78"/>
      <c r="J40" s="78"/>
    </row>
    <row r="41" spans="1:10">
      <c r="H41" s="8" t="s">
        <v>44</v>
      </c>
      <c r="I41" s="62">
        <f ca="1">TODAY()+1</f>
        <v>46307</v>
      </c>
      <c r="J41" s="8"/>
    </row>
    <row r="42" spans="1:10">
      <c r="A42" s="78" t="s">
        <v>18</v>
      </c>
      <c r="B42" s="78"/>
      <c r="C42" s="78"/>
      <c r="D42" s="78"/>
      <c r="E42" s="78"/>
      <c r="F42" s="78"/>
      <c r="G42" s="78"/>
      <c r="H42" s="78"/>
      <c r="I42" s="78"/>
      <c r="J42" s="78"/>
    </row>
    <row r="43" spans="1:10">
      <c r="A43" s="99" t="s">
        <v>57</v>
      </c>
      <c r="B43" s="99"/>
      <c r="C43" s="99"/>
      <c r="D43" s="99"/>
      <c r="E43" s="99"/>
      <c r="F43" s="99"/>
      <c r="G43" s="99"/>
      <c r="H43" s="99"/>
      <c r="I43" s="99"/>
      <c r="J43" s="99"/>
    </row>
    <row r="44" spans="1:10">
      <c r="A44" s="95" t="s">
        <v>35</v>
      </c>
      <c r="B44" s="95"/>
      <c r="C44" s="95"/>
      <c r="D44" s="95"/>
      <c r="E44" s="95"/>
      <c r="F44" s="95"/>
      <c r="G44" s="95"/>
      <c r="H44" s="95"/>
      <c r="I44" s="95"/>
      <c r="J44" s="95"/>
    </row>
    <row r="45" spans="1:10">
      <c r="A45" s="78" t="s">
        <v>58</v>
      </c>
      <c r="B45" s="78"/>
      <c r="C45" s="78"/>
      <c r="D45" s="78"/>
      <c r="E45" s="78"/>
      <c r="F45" s="78"/>
      <c r="G45" s="78"/>
      <c r="H45" s="78"/>
      <c r="I45" s="78"/>
      <c r="J45" s="78"/>
    </row>
    <row r="46" spans="1:10">
      <c r="B46" s="12"/>
      <c r="C46" s="12"/>
      <c r="D46" s="12"/>
      <c r="E46" s="12"/>
      <c r="F46" s="12"/>
      <c r="G46" s="12"/>
      <c r="H46" s="13" t="s">
        <v>59</v>
      </c>
      <c r="I46" s="12"/>
      <c r="J46" s="12"/>
    </row>
    <row r="47" spans="1:10">
      <c r="A47" s="6"/>
      <c r="B47" s="6"/>
      <c r="C47" s="6"/>
      <c r="D47" s="6"/>
      <c r="E47" s="6"/>
      <c r="F47" s="6"/>
      <c r="I47" s="6"/>
      <c r="J47" s="6"/>
    </row>
  </sheetData>
  <mergeCells count="83">
    <mergeCell ref="I23:J23"/>
    <mergeCell ref="I30:J30"/>
    <mergeCell ref="A24:B24"/>
    <mergeCell ref="A26:B26"/>
    <mergeCell ref="C26:D26"/>
    <mergeCell ref="A23:B23"/>
    <mergeCell ref="C23:D23"/>
    <mergeCell ref="E23:F23"/>
    <mergeCell ref="G23:H23"/>
    <mergeCell ref="H33:J33"/>
    <mergeCell ref="A31:B31"/>
    <mergeCell ref="A27:B27"/>
    <mergeCell ref="C24:D24"/>
    <mergeCell ref="C30:D30"/>
    <mergeCell ref="I24:J24"/>
    <mergeCell ref="I25:J25"/>
    <mergeCell ref="I27:J27"/>
    <mergeCell ref="G27:H27"/>
    <mergeCell ref="I28:J28"/>
    <mergeCell ref="C29:D29"/>
    <mergeCell ref="G26:H26"/>
    <mergeCell ref="I26:J26"/>
    <mergeCell ref="G28:H28"/>
    <mergeCell ref="C31:D31"/>
    <mergeCell ref="G24:H24"/>
    <mergeCell ref="A45:J45"/>
    <mergeCell ref="A44:J44"/>
    <mergeCell ref="G30:H30"/>
    <mergeCell ref="I29:J29"/>
    <mergeCell ref="A36:F37"/>
    <mergeCell ref="H36:J36"/>
    <mergeCell ref="H37:J37"/>
    <mergeCell ref="H40:J40"/>
    <mergeCell ref="G29:H29"/>
    <mergeCell ref="A43:J43"/>
    <mergeCell ref="G31:H31"/>
    <mergeCell ref="H38:J38"/>
    <mergeCell ref="A42:J42"/>
    <mergeCell ref="I31:J31"/>
    <mergeCell ref="H39:J39"/>
    <mergeCell ref="H35:J35"/>
    <mergeCell ref="A19:C19"/>
    <mergeCell ref="D17:E17"/>
    <mergeCell ref="H34:J34"/>
    <mergeCell ref="C8:F8"/>
    <mergeCell ref="A12:J12"/>
    <mergeCell ref="A17:C17"/>
    <mergeCell ref="A18:C18"/>
    <mergeCell ref="A16:C16"/>
    <mergeCell ref="A28:B28"/>
    <mergeCell ref="C28:D28"/>
    <mergeCell ref="C25:D25"/>
    <mergeCell ref="C27:D27"/>
    <mergeCell ref="G25:H25"/>
    <mergeCell ref="F18:H18"/>
    <mergeCell ref="A22:B22"/>
    <mergeCell ref="A25:B25"/>
    <mergeCell ref="E22:F22"/>
    <mergeCell ref="I22:J22"/>
    <mergeCell ref="I16:J16"/>
    <mergeCell ref="I17:J17"/>
    <mergeCell ref="D18:E18"/>
    <mergeCell ref="I18:J18"/>
    <mergeCell ref="F16:H16"/>
    <mergeCell ref="F17:H17"/>
    <mergeCell ref="C22:D22"/>
    <mergeCell ref="G22:H22"/>
    <mergeCell ref="R6:W6"/>
    <mergeCell ref="U3:V3"/>
    <mergeCell ref="A3:D3"/>
    <mergeCell ref="A15:C15"/>
    <mergeCell ref="F15:H15"/>
    <mergeCell ref="I15:J15"/>
    <mergeCell ref="C7:F7"/>
    <mergeCell ref="A5:J5"/>
    <mergeCell ref="L5:V5"/>
    <mergeCell ref="A6:J6"/>
    <mergeCell ref="D15:E15"/>
    <mergeCell ref="S2:T2"/>
    <mergeCell ref="S3:T3"/>
    <mergeCell ref="M4:N4"/>
    <mergeCell ref="P4:Q4"/>
    <mergeCell ref="S4:T4"/>
  </mergeCells>
  <phoneticPr fontId="3" type="noConversion"/>
  <conditionalFormatting sqref="O24">
    <cfRule type="cellIs" dxfId="0" priority="1" stopIfTrue="1" operator="equal">
      <formula>"NG"</formula>
    </cfRule>
  </conditionalFormatting>
  <pageMargins left="0.28999999999999998" right="0.27" top="0.41" bottom="0.5" header="0.27" footer="0.28000000000000003"/>
  <pageSetup paperSize="9" scale="93" fitToWidth="0" orientation="portrait" horizontalDpi="1200" verticalDpi="1200" r:id="rId1"/>
  <headerFooter alignWithMargins="0"/>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1</vt:i4>
      </vt:variant>
      <vt:variant>
        <vt:lpstr>具名範圍</vt:lpstr>
      </vt:variant>
      <vt:variant>
        <vt:i4>1</vt:i4>
      </vt:variant>
    </vt:vector>
  </HeadingPairs>
  <TitlesOfParts>
    <vt:vector size="2" baseType="lpstr">
      <vt:lpstr>Sheet1</vt:lpstr>
      <vt:lpstr>Sheet1!Print_Area</vt:lpstr>
    </vt:vector>
  </TitlesOfParts>
  <Company>alfe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WU, Jos</dc:creator>
  <cp:lastModifiedBy>Aragorn</cp:lastModifiedBy>
  <cp:lastPrinted>2026-08-20T09:12:38Z</cp:lastPrinted>
  <dcterms:created xsi:type="dcterms:W3CDTF">2007-05-03T09:09:13Z</dcterms:created>
  <dcterms:modified xsi:type="dcterms:W3CDTF">2026-10-11T07:50:57Z</dcterms:modified>
</cp:coreProperties>
</file>