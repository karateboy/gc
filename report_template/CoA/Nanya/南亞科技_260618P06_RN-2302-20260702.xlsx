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repo\gc\report_template\CoA\Nanya\"/>
    </mc:Choice>
  </mc:AlternateContent>
  <xr:revisionPtr revIDLastSave="0" documentId="13_ncr:1_{8E3705C0-D6FD-4AFC-AFDC-0F39985AA376}" xr6:coauthVersionLast="47" xr6:coauthVersionMax="47" xr10:uidLastSave="{00000000-0000-0000-0000-000000000000}"/>
  <bookViews>
    <workbookView xWindow="-103" yWindow="-103" windowWidth="33120" windowHeight="18000" xr2:uid="{B6E966BA-E349-4807-9E30-0EC656884685}"/>
  </bookViews>
  <sheets>
    <sheet name="Sheet1" sheetId="1" r:id="rId1"/>
  </sheets>
  <definedNames>
    <definedName name="_xlnm.Print_Area" localSheetId="0">Sheet1!$A$1:$J$46</definedName>
  </definedNames>
  <calcPr calcId="191029"/>
</workbook>
</file>

<file path=xl/calcChain.xml><?xml version="1.0" encoding="utf-8"?>
<calcChain xmlns="http://schemas.openxmlformats.org/spreadsheetml/2006/main">
  <c r="N35" i="1" l="1"/>
  <c r="S35" i="1" s="1"/>
  <c r="N34" i="1"/>
  <c r="S34" i="1" s="1"/>
  <c r="N31" i="1"/>
  <c r="S31" i="1" s="1"/>
  <c r="N30" i="1"/>
  <c r="I15" i="1"/>
  <c r="R21" i="1"/>
  <c r="R22" i="1" s="1"/>
  <c r="R26" i="1"/>
  <c r="R27" i="1"/>
  <c r="S30" i="1"/>
  <c r="N32" i="1"/>
  <c r="S32" i="1" s="1"/>
  <c r="N33" i="1"/>
  <c r="S33" i="1" s="1"/>
  <c r="I41" i="1"/>
  <c r="R16" i="1" l="1"/>
  <c r="R23" i="1"/>
</calcChain>
</file>

<file path=xl/sharedStrings.xml><?xml version="1.0" encoding="utf-8"?>
<sst xmlns="http://schemas.openxmlformats.org/spreadsheetml/2006/main" count="134" uniqueCount="114">
  <si>
    <t xml:space="preserve">                                                     </t>
  </si>
  <si>
    <t>Electronic Materials Center Taiwan</t>
  </si>
  <si>
    <t>Certificate of Analysis</t>
    <phoneticPr fontId="3" type="noConversion"/>
  </si>
  <si>
    <t xml:space="preserve">Customer Order: </t>
  </si>
  <si>
    <t>PRODUCT</t>
  </si>
  <si>
    <t xml:space="preserve">Customer Specification / Revision </t>
  </si>
  <si>
    <t>FILLING</t>
  </si>
  <si>
    <t>PACKAGING</t>
  </si>
  <si>
    <t>SPECIFICATIONS</t>
  </si>
  <si>
    <t>Impurity</t>
  </si>
  <si>
    <t>Specifications</t>
  </si>
  <si>
    <t>Results</t>
  </si>
  <si>
    <t>Method</t>
  </si>
  <si>
    <t>Detection Limit</t>
  </si>
  <si>
    <t>Moisture Analyzer</t>
    <phoneticPr fontId="3" type="noConversion"/>
  </si>
  <si>
    <t>Total Purity</t>
    <phoneticPr fontId="3" type="noConversion"/>
  </si>
  <si>
    <r>
      <t>*  ND</t>
    </r>
    <r>
      <rPr>
        <sz val="9.5"/>
        <color indexed="8"/>
        <rFont val="新細明體"/>
        <family val="1"/>
        <charset val="136"/>
      </rPr>
      <t>：</t>
    </r>
    <r>
      <rPr>
        <sz val="9.5"/>
        <color indexed="8"/>
        <rFont val="Arial"/>
        <family val="2"/>
      </rPr>
      <t xml:space="preserve"> Not Detectable, below Detection Limit</t>
    </r>
  </si>
  <si>
    <r>
      <t>** GC</t>
    </r>
    <r>
      <rPr>
        <sz val="9.5"/>
        <color indexed="8"/>
        <rFont val="新細明體"/>
        <family val="1"/>
        <charset val="136"/>
      </rPr>
      <t>：</t>
    </r>
    <r>
      <rPr>
        <sz val="9.5"/>
        <color indexed="8"/>
        <rFont val="Arial"/>
        <family val="2"/>
      </rPr>
      <t>Gas Chromatography</t>
    </r>
  </si>
  <si>
    <t>Electronic Materials Center of Taiwan</t>
    <phoneticPr fontId="3" type="noConversion"/>
  </si>
  <si>
    <t>Certified by Quality Manager of the</t>
    <phoneticPr fontId="3" type="noConversion"/>
  </si>
  <si>
    <r>
      <t>Signature</t>
    </r>
    <r>
      <rPr>
        <sz val="9.5"/>
        <rFont val="細明體"/>
        <family val="3"/>
        <charset val="136"/>
      </rPr>
      <t>：</t>
    </r>
    <phoneticPr fontId="3" type="noConversion"/>
  </si>
  <si>
    <t>N2</t>
    <phoneticPr fontId="3" type="noConversion"/>
  </si>
  <si>
    <t>H2O</t>
    <phoneticPr fontId="3" type="noConversion"/>
  </si>
  <si>
    <t>GC-DID</t>
    <phoneticPr fontId="3" type="noConversion"/>
  </si>
  <si>
    <t>GC-DID</t>
    <phoneticPr fontId="3" type="noConversion"/>
  </si>
  <si>
    <r>
      <t>Name</t>
    </r>
    <r>
      <rPr>
        <sz val="9.5"/>
        <rFont val="細明體"/>
        <family val="3"/>
        <charset val="136"/>
      </rPr>
      <t>：</t>
    </r>
    <r>
      <rPr>
        <sz val="9.5"/>
        <rFont val="Arial"/>
        <family val="2"/>
      </rPr>
      <t xml:space="preserve">        </t>
    </r>
    <phoneticPr fontId="3" type="noConversion"/>
  </si>
  <si>
    <t>Product Name</t>
    <phoneticPr fontId="3" type="noConversion"/>
  </si>
  <si>
    <t>Helium(He)</t>
    <phoneticPr fontId="3" type="noConversion"/>
  </si>
  <si>
    <t>H2</t>
    <phoneticPr fontId="3" type="noConversion"/>
  </si>
  <si>
    <t>O2</t>
    <phoneticPr fontId="3" type="noConversion"/>
  </si>
  <si>
    <t>Delta F</t>
    <phoneticPr fontId="3" type="noConversion"/>
  </si>
  <si>
    <t>10 ppb</t>
    <phoneticPr fontId="3" type="noConversion"/>
  </si>
  <si>
    <t>GC-PED</t>
    <phoneticPr fontId="3" type="noConversion"/>
  </si>
  <si>
    <t xml:space="preserve">Container N°: </t>
    <phoneticPr fontId="3" type="noConversion"/>
  </si>
  <si>
    <r>
      <t>Manufacturing Lot</t>
    </r>
    <r>
      <rPr>
        <sz val="9.5"/>
        <rFont val="細明體"/>
        <family val="3"/>
        <charset val="136"/>
      </rPr>
      <t>：</t>
    </r>
    <phoneticPr fontId="3" type="noConversion"/>
  </si>
  <si>
    <t>99.999%</t>
    <phoneticPr fontId="3" type="noConversion"/>
  </si>
  <si>
    <t>&gt;99.999%</t>
    <phoneticPr fontId="3" type="noConversion"/>
  </si>
  <si>
    <t>&lt;1000 ppb</t>
    <phoneticPr fontId="3" type="noConversion"/>
  </si>
  <si>
    <r>
      <t>Filling Date</t>
    </r>
    <r>
      <rPr>
        <sz val="9.5"/>
        <rFont val="細明體"/>
        <family val="3"/>
        <charset val="136"/>
      </rPr>
      <t/>
    </r>
    <phoneticPr fontId="3" type="noConversion"/>
  </si>
  <si>
    <r>
      <t>Analysis Date</t>
    </r>
    <r>
      <rPr>
        <sz val="9.5"/>
        <rFont val="細明體"/>
        <family val="3"/>
        <charset val="136"/>
      </rPr>
      <t/>
    </r>
    <phoneticPr fontId="3" type="noConversion"/>
  </si>
  <si>
    <r>
      <t>Pressure</t>
    </r>
    <r>
      <rPr>
        <sz val="9.5"/>
        <rFont val="細明體"/>
        <family val="3"/>
        <charset val="136"/>
      </rPr>
      <t/>
    </r>
    <phoneticPr fontId="3" type="noConversion"/>
  </si>
  <si>
    <r>
      <t>N°</t>
    </r>
    <r>
      <rPr>
        <sz val="9.5"/>
        <rFont val="細明體"/>
        <family val="3"/>
        <charset val="136"/>
      </rPr>
      <t/>
    </r>
    <phoneticPr fontId="3" type="noConversion"/>
  </si>
  <si>
    <t>Valve</t>
    <phoneticPr fontId="3" type="noConversion"/>
  </si>
  <si>
    <r>
      <t>Connection</t>
    </r>
    <r>
      <rPr>
        <sz val="9.5"/>
        <rFont val="細明體"/>
        <family val="3"/>
        <charset val="136"/>
      </rPr>
      <t/>
    </r>
    <phoneticPr fontId="3" type="noConversion"/>
  </si>
  <si>
    <r>
      <t>Expiration Date</t>
    </r>
    <r>
      <rPr>
        <sz val="9.5"/>
        <rFont val="細明體"/>
        <family val="3"/>
        <charset val="136"/>
      </rPr>
      <t/>
    </r>
    <phoneticPr fontId="3" type="noConversion"/>
  </si>
  <si>
    <t>ppb</t>
    <phoneticPr fontId="3" type="noConversion"/>
  </si>
  <si>
    <r>
      <rPr>
        <sz val="9.5"/>
        <rFont val="Arial"/>
        <family val="2"/>
      </rPr>
      <t>150 kg/cm2 @35</t>
    </r>
    <r>
      <rPr>
        <sz val="9.5"/>
        <rFont val="細明體"/>
        <family val="3"/>
        <charset val="136"/>
      </rPr>
      <t>℃</t>
    </r>
    <phoneticPr fontId="3" type="noConversion"/>
  </si>
  <si>
    <t>CO+CO2</t>
    <phoneticPr fontId="3" type="noConversion"/>
  </si>
  <si>
    <t>THC</t>
    <phoneticPr fontId="3" type="noConversion"/>
  </si>
  <si>
    <t>&lt;4000 ppb</t>
    <phoneticPr fontId="3" type="noConversion"/>
  </si>
  <si>
    <t>&lt;600 ppb</t>
    <phoneticPr fontId="3" type="noConversion"/>
  </si>
  <si>
    <t>&lt;300 ppb</t>
    <phoneticPr fontId="3" type="noConversion"/>
  </si>
  <si>
    <r>
      <t>Date</t>
    </r>
    <r>
      <rPr>
        <sz val="9.5"/>
        <rFont val="細明體"/>
        <family val="3"/>
        <charset val="136"/>
      </rPr>
      <t>：</t>
    </r>
  </si>
  <si>
    <t xml:space="preserve">Helium </t>
    <phoneticPr fontId="3" type="noConversion"/>
  </si>
  <si>
    <t>南亞科技</t>
    <phoneticPr fontId="3" type="noConversion"/>
  </si>
  <si>
    <t>20ppb</t>
    <phoneticPr fontId="3" type="noConversion"/>
  </si>
  <si>
    <t>--</t>
    <phoneticPr fontId="3" type="noConversion"/>
  </si>
  <si>
    <t>--</t>
    <phoneticPr fontId="3" type="noConversion"/>
  </si>
  <si>
    <t>&lt;1000 ppb</t>
  </si>
  <si>
    <t>AIR LIQUIDE FAR EASTERN - ELECTRONIC MATERIALS CENTER TAIWAN</t>
    <phoneticPr fontId="3" type="noConversion"/>
  </si>
  <si>
    <r>
      <t>亞東工業氣體股份有限公司台中分公司</t>
    </r>
    <r>
      <rPr>
        <sz val="9.5"/>
        <color indexed="56"/>
        <rFont val="Arial"/>
        <family val="2"/>
      </rPr>
      <t xml:space="preserve">   </t>
    </r>
    <r>
      <rPr>
        <sz val="9.5"/>
        <color indexed="56"/>
        <rFont val="細明體"/>
        <family val="3"/>
        <charset val="136"/>
      </rPr>
      <t>電子材料中心</t>
    </r>
    <r>
      <rPr>
        <sz val="9.5"/>
        <color indexed="56"/>
        <rFont val="Arial"/>
        <family val="2"/>
      </rPr>
      <t xml:space="preserve"> </t>
    </r>
    <r>
      <rPr>
        <sz val="9.5"/>
        <color indexed="56"/>
        <rFont val="細明體"/>
        <family val="3"/>
        <charset val="136"/>
      </rPr>
      <t>品管實驗室</t>
    </r>
    <r>
      <rPr>
        <sz val="9.5"/>
        <color indexed="56"/>
        <rFont val="Arial"/>
        <family val="2"/>
      </rPr>
      <t xml:space="preserve"> </t>
    </r>
    <phoneticPr fontId="3" type="noConversion"/>
  </si>
  <si>
    <r>
      <t>台中市</t>
    </r>
    <r>
      <rPr>
        <sz val="9.5"/>
        <rFont val="Arial"/>
        <family val="2"/>
      </rPr>
      <t>435</t>
    </r>
    <r>
      <rPr>
        <sz val="9.5"/>
        <rFont val="細明體"/>
        <family val="3"/>
        <charset val="136"/>
      </rPr>
      <t>梧棲區中港加工出口區經一路</t>
    </r>
    <r>
      <rPr>
        <sz val="9.5"/>
        <rFont val="Arial"/>
        <family val="2"/>
      </rPr>
      <t>2</t>
    </r>
    <r>
      <rPr>
        <sz val="9.5"/>
        <rFont val="細明體"/>
        <family val="3"/>
        <charset val="136"/>
      </rPr>
      <t>號</t>
    </r>
    <r>
      <rPr>
        <sz val="9.5"/>
        <rFont val="Arial"/>
        <family val="2"/>
      </rPr>
      <t xml:space="preserve">  </t>
    </r>
    <phoneticPr fontId="3" type="noConversion"/>
  </si>
  <si>
    <r>
      <t>Tel</t>
    </r>
    <r>
      <rPr>
        <sz val="9.5"/>
        <rFont val="細明體"/>
        <family val="3"/>
        <charset val="136"/>
      </rPr>
      <t>：</t>
    </r>
    <r>
      <rPr>
        <sz val="9.5"/>
        <rFont val="Arial"/>
        <family val="2"/>
      </rPr>
      <t>(04)36099988    Fax: (04) 26595118</t>
    </r>
    <phoneticPr fontId="3" type="noConversion"/>
  </si>
  <si>
    <r>
      <t>表單編號：</t>
    </r>
    <r>
      <rPr>
        <sz val="9"/>
        <rFont val="Times New Roman"/>
        <family val="1"/>
      </rPr>
      <t>LB-P-015_V06_F02_1-1</t>
    </r>
    <phoneticPr fontId="3" type="noConversion"/>
  </si>
  <si>
    <t>Purno</t>
  </si>
  <si>
    <t>COAnumber</t>
  </si>
  <si>
    <t>Materialtype</t>
  </si>
  <si>
    <t>MaterialName</t>
  </si>
  <si>
    <t>MaterialNumber</t>
  </si>
  <si>
    <t>Supplier</t>
  </si>
  <si>
    <t>Agency</t>
  </si>
  <si>
    <t>DataSource</t>
  </si>
  <si>
    <t>Company_UID</t>
  </si>
  <si>
    <t>LotNumber</t>
  </si>
  <si>
    <t>FAB</t>
  </si>
  <si>
    <t>LotQuantity</t>
  </si>
  <si>
    <t>QuantityUn</t>
  </si>
  <si>
    <t>ManufacturingSite</t>
  </si>
  <si>
    <t>ExpiredDate</t>
  </si>
  <si>
    <t>Expect_FABInDate</t>
  </si>
  <si>
    <t>Author</t>
  </si>
  <si>
    <t>Author_Email</t>
  </si>
  <si>
    <t>DataInDate</t>
  </si>
  <si>
    <t>Unit</t>
  </si>
  <si>
    <t>Specification</t>
  </si>
  <si>
    <t>DetectionLimit</t>
  </si>
  <si>
    <t>H2</t>
  </si>
  <si>
    <t>ppmv</t>
  </si>
  <si>
    <t>N2</t>
  </si>
  <si>
    <t>CO+CO2</t>
  </si>
  <si>
    <t>Total Hydrocarbons CH4</t>
  </si>
  <si>
    <t>O2</t>
  </si>
  <si>
    <t>H2O</t>
  </si>
  <si>
    <t>N/A</t>
  </si>
  <si>
    <t>BAL</t>
  </si>
  <si>
    <t>SerialNumber</t>
  </si>
  <si>
    <t>001</t>
  </si>
  <si>
    <t>Revision</t>
  </si>
  <si>
    <t>Bulk Gas</t>
  </si>
  <si>
    <t>He</t>
  </si>
  <si>
    <t>CHEINP64</t>
  </si>
  <si>
    <t>ALFE</t>
  </si>
  <si>
    <t>E</t>
  </si>
  <si>
    <t>Trailer</t>
  </si>
  <si>
    <t>Productiondate</t>
  </si>
  <si>
    <t>ALFE-EMCT-QC</t>
  </si>
  <si>
    <t>howard.su@airliquide.com;alvin.chen@airliquide.com;misaki.tsai@airliquide.com;jos.wu@airliquide.com</t>
  </si>
  <si>
    <t>Remark</t>
  </si>
  <si>
    <t>InspectionValue</t>
  </si>
  <si>
    <t>Purity</t>
  </si>
  <si>
    <t>%</t>
  </si>
  <si>
    <t>RN-2302</t>
    <phoneticPr fontId="3" type="noConversion"/>
  </si>
  <si>
    <t>260618P06</t>
    <phoneticPr fontId="3" type="noConversion"/>
  </si>
  <si>
    <t>ALFE_Taichung_Taiwan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</si>
</sst>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/m/d;@"/>
    <numFmt numFmtId="177" formatCode="0_);[Red]\(0\)"/>
  </numFmts>
  <fonts count="22">
    <font>
      <sz val="12"/>
      <name val="新細明體"/>
      <family val="1"/>
      <charset val="136"/>
    </font>
    <font>
      <sz val="12"/>
      <name val="Arial"/>
      <family val="2"/>
    </font>
    <font>
      <b/>
      <sz val="10.5"/>
      <color indexed="8"/>
      <name val="Arial"/>
      <family val="2"/>
    </font>
    <font>
      <sz val="9"/>
      <name val="新細明體"/>
      <family val="1"/>
      <charset val="136"/>
    </font>
    <font>
      <sz val="9.5"/>
      <color indexed="8"/>
      <name val="Arial"/>
      <family val="2"/>
    </font>
    <font>
      <b/>
      <sz val="9.5"/>
      <color indexed="8"/>
      <name val="Trebuchet MS"/>
      <family val="2"/>
    </font>
    <font>
      <b/>
      <sz val="9.5"/>
      <name val="Trebuchet MS"/>
      <family val="2"/>
    </font>
    <font>
      <sz val="9.5"/>
      <name val="Arial"/>
      <family val="2"/>
    </font>
    <font>
      <i/>
      <sz val="9.5"/>
      <color indexed="8"/>
      <name val="Times New Roman"/>
      <family val="1"/>
    </font>
    <font>
      <sz val="9.5"/>
      <name val="Times New Roman"/>
      <family val="1"/>
    </font>
    <font>
      <sz val="9.5"/>
      <color indexed="8"/>
      <name val="新細明體"/>
      <family val="1"/>
      <charset val="136"/>
    </font>
    <font>
      <sz val="9.5"/>
      <name val="細明體"/>
      <family val="3"/>
      <charset val="136"/>
    </font>
    <font>
      <b/>
      <sz val="22"/>
      <name val="Arial"/>
      <family val="2"/>
    </font>
    <font>
      <b/>
      <sz val="20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sz val="9.5"/>
      <color indexed="56"/>
      <name val="細明體"/>
      <family val="3"/>
      <charset val="136"/>
    </font>
    <font>
      <sz val="9.5"/>
      <color indexed="56"/>
      <name val="Arial"/>
      <family val="2"/>
    </font>
    <font>
      <sz val="9"/>
      <name val="Times New Roman"/>
      <family val="1"/>
    </font>
    <font>
      <b/>
      <sz val="16"/>
      <name val="細明體"/>
      <family val="3"/>
      <charset val="136"/>
    </font>
    <font>
      <sz val="9.5"/>
      <name val="Calibri"/>
      <family val="2"/>
    </font>
    <font>
      <sz val="9.5"/>
      <color theme="3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vertical="top"/>
    </xf>
    <xf numFmtId="0" fontId="4" fillId="0" borderId="0" xfId="0" applyFont="1">
      <alignment vertical="center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7" fillId="0" borderId="0" xfId="0" applyFont="1">
      <alignment vertical="center"/>
    </xf>
    <xf numFmtId="0" fontId="5" fillId="0" borderId="0" xfId="0" applyFont="1">
      <alignment vertical="center"/>
    </xf>
    <xf numFmtId="0" fontId="7" fillId="0" borderId="0" xfId="0" applyFont="1" applyAlignment="1">
      <alignment horizontal="left" vertical="center"/>
    </xf>
    <xf numFmtId="0" fontId="9" fillId="0" borderId="0" xfId="0" applyFont="1">
      <alignment vertical="center"/>
    </xf>
    <xf numFmtId="0" fontId="7" fillId="0" borderId="1" xfId="0" applyFont="1" applyBorder="1" applyAlignment="1">
      <alignment horizontal="left" vertical="center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9" fillId="0" borderId="1" xfId="0" applyFont="1" applyBorder="1">
      <alignment vertical="center"/>
    </xf>
    <xf numFmtId="0" fontId="9" fillId="0" borderId="0" xfId="0" applyFont="1" applyAlignment="1">
      <alignment horizontal="right" vertical="center"/>
    </xf>
    <xf numFmtId="0" fontId="9" fillId="0" borderId="0" xfId="0" applyFont="1" applyAlignment="1">
      <alignment horizontal="center" vertical="center"/>
    </xf>
    <xf numFmtId="0" fontId="20" fillId="0" borderId="0" xfId="0" applyFont="1">
      <alignment vertical="center"/>
    </xf>
    <xf numFmtId="0" fontId="20" fillId="2" borderId="0" xfId="0" applyFont="1" applyFill="1">
      <alignment vertical="center"/>
    </xf>
    <xf numFmtId="49" fontId="20" fillId="2" borderId="0" xfId="0" applyNumberFormat="1" applyFont="1" applyFill="1">
      <alignment vertical="center"/>
    </xf>
    <xf numFmtId="14" fontId="20" fillId="2" borderId="0" xfId="0" applyNumberFormat="1" applyFont="1" applyFill="1">
      <alignment vertical="center"/>
    </xf>
    <xf numFmtId="176" fontId="20" fillId="2" borderId="0" xfId="0" applyNumberFormat="1" applyFont="1" applyFill="1">
      <alignment vertical="center"/>
    </xf>
    <xf numFmtId="177" fontId="1" fillId="0" borderId="0" xfId="0" applyNumberFormat="1" applyFont="1">
      <alignment vertical="center"/>
    </xf>
    <xf numFmtId="177" fontId="7" fillId="0" borderId="0" xfId="0" applyNumberFormat="1" applyFont="1">
      <alignment vertical="center"/>
    </xf>
    <xf numFmtId="177" fontId="7" fillId="0" borderId="0" xfId="0" applyNumberFormat="1" applyFont="1" applyAlignment="1">
      <alignment horizontal="left" vertical="center"/>
    </xf>
    <xf numFmtId="177" fontId="9" fillId="0" borderId="1" xfId="0" applyNumberFormat="1" applyFont="1" applyBorder="1" applyAlignment="1">
      <alignment horizontal="right" vertical="center"/>
    </xf>
    <xf numFmtId="177" fontId="9" fillId="0" borderId="1" xfId="0" applyNumberFormat="1" applyFont="1" applyBorder="1">
      <alignment vertical="center"/>
    </xf>
    <xf numFmtId="177" fontId="9" fillId="0" borderId="0" xfId="0" applyNumberFormat="1" applyFont="1">
      <alignment vertical="center"/>
    </xf>
    <xf numFmtId="177" fontId="7" fillId="0" borderId="0" xfId="0" applyNumberFormat="1" applyFont="1" applyAlignment="1">
      <alignment horizontal="center" vertical="center"/>
    </xf>
    <xf numFmtId="49" fontId="9" fillId="0" borderId="1" xfId="0" applyNumberFormat="1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176" fontId="7" fillId="0" borderId="0" xfId="0" applyNumberFormat="1" applyFont="1" applyAlignment="1">
      <alignment horizontal="left" vertical="center"/>
    </xf>
    <xf numFmtId="49" fontId="14" fillId="0" borderId="0" xfId="0" applyNumberFormat="1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7" fillId="0" borderId="0" xfId="0" quotePrefix="1" applyFont="1" applyAlignment="1">
      <alignment horizontal="left" vertical="center"/>
    </xf>
    <xf numFmtId="49" fontId="7" fillId="0" borderId="0" xfId="0" applyNumberFormat="1" applyFont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8" fillId="0" borderId="0" xfId="0" applyFont="1" applyAlignment="1">
      <alignment horizontal="center" vertical="top" wrapText="1"/>
    </xf>
    <xf numFmtId="0" fontId="7" fillId="0" borderId="2" xfId="0" applyFont="1" applyBorder="1" applyAlignment="1">
      <alignment horizontal="left" vertical="center"/>
    </xf>
    <xf numFmtId="0" fontId="9" fillId="0" borderId="2" xfId="0" applyFont="1" applyBorder="1" applyAlignment="1">
      <alignment horizontal="center" vertical="center"/>
    </xf>
    <xf numFmtId="0" fontId="21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9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14" fontId="7" fillId="0" borderId="0" xfId="0" applyNumberFormat="1" applyFont="1" applyAlignment="1">
      <alignment horizontal="left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527957</xdr:colOff>
      <xdr:row>0</xdr:row>
      <xdr:rowOff>0</xdr:rowOff>
    </xdr:from>
    <xdr:to>
      <xdr:col>10</xdr:col>
      <xdr:colOff>5443</xdr:colOff>
      <xdr:row>1</xdr:row>
      <xdr:rowOff>674914</xdr:rowOff>
    </xdr:to>
    <xdr:pic>
      <xdr:nvPicPr>
        <xdr:cNvPr id="1217" name="Picture 1">
          <a:extLst>
            <a:ext uri="{FF2B5EF4-FFF2-40B4-BE49-F238E27FC236}">
              <a16:creationId xmlns:a16="http://schemas.microsoft.com/office/drawing/2014/main" id="{4D996059-3D1D-6DD2-9C5A-704870D426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04557" y="0"/>
          <a:ext cx="2960914" cy="8654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157843</xdr:colOff>
      <xdr:row>40</xdr:row>
      <xdr:rowOff>125186</xdr:rowOff>
    </xdr:from>
    <xdr:to>
      <xdr:col>14</xdr:col>
      <xdr:colOff>299357</xdr:colOff>
      <xdr:row>44</xdr:row>
      <xdr:rowOff>16329</xdr:rowOff>
    </xdr:to>
    <xdr:pic>
      <xdr:nvPicPr>
        <xdr:cNvPr id="1218" name="Picture 143">
          <a:extLst>
            <a:ext uri="{FF2B5EF4-FFF2-40B4-BE49-F238E27FC236}">
              <a16:creationId xmlns:a16="http://schemas.microsoft.com/office/drawing/2014/main" id="{379C415A-69E6-36F9-3E5D-6F4ED0B779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91500" y="9116786"/>
          <a:ext cx="1415143" cy="6531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0</xdr:colOff>
      <xdr:row>36</xdr:row>
      <xdr:rowOff>174171</xdr:rowOff>
    </xdr:from>
    <xdr:to>
      <xdr:col>14</xdr:col>
      <xdr:colOff>288471</xdr:colOff>
      <xdr:row>40</xdr:row>
      <xdr:rowOff>0</xdr:rowOff>
    </xdr:to>
    <xdr:pic>
      <xdr:nvPicPr>
        <xdr:cNvPr id="1219" name="Picture 1">
          <a:extLst>
            <a:ext uri="{FF2B5EF4-FFF2-40B4-BE49-F238E27FC236}">
              <a16:creationId xmlns:a16="http://schemas.microsoft.com/office/drawing/2014/main" id="{B11CCF37-D1AA-545E-6D17-8F1B6E6BFE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3657" y="8403771"/>
          <a:ext cx="1562100" cy="5878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15</xdr:col>
      <xdr:colOff>587829</xdr:colOff>
      <xdr:row>42</xdr:row>
      <xdr:rowOff>87086</xdr:rowOff>
    </xdr:from>
    <xdr:to>
      <xdr:col>17</xdr:col>
      <xdr:colOff>778329</xdr:colOff>
      <xdr:row>45</xdr:row>
      <xdr:rowOff>141514</xdr:rowOff>
    </xdr:to>
    <xdr:pic>
      <xdr:nvPicPr>
        <xdr:cNvPr id="1220" name="Picture 1">
          <a:extLst>
            <a:ext uri="{FF2B5EF4-FFF2-40B4-BE49-F238E27FC236}">
              <a16:creationId xmlns:a16="http://schemas.microsoft.com/office/drawing/2014/main" id="{C9777245-5CFD-AE8C-E165-0C6F1F2E0A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31929" y="9459686"/>
          <a:ext cx="1464128" cy="6259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587829</xdr:colOff>
      <xdr:row>43</xdr:row>
      <xdr:rowOff>97971</xdr:rowOff>
    </xdr:from>
    <xdr:to>
      <xdr:col>14</xdr:col>
      <xdr:colOff>190500</xdr:colOff>
      <xdr:row>47</xdr:row>
      <xdr:rowOff>157843</xdr:rowOff>
    </xdr:to>
    <xdr:pic>
      <xdr:nvPicPr>
        <xdr:cNvPr id="1221" name="Picture 5">
          <a:extLst>
            <a:ext uri="{FF2B5EF4-FFF2-40B4-BE49-F238E27FC236}">
              <a16:creationId xmlns:a16="http://schemas.microsoft.com/office/drawing/2014/main" id="{6149DA0C-2F37-33E4-C224-95ABBB733F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951" b="24390"/>
        <a:stretch>
          <a:fillRect/>
        </a:stretch>
      </xdr:blipFill>
      <xdr:spPr bwMode="auto">
        <a:xfrm>
          <a:off x="7984671" y="9661071"/>
          <a:ext cx="1513115" cy="8218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136071</xdr:colOff>
      <xdr:row>34</xdr:row>
      <xdr:rowOff>141514</xdr:rowOff>
    </xdr:from>
    <xdr:to>
      <xdr:col>9</xdr:col>
      <xdr:colOff>647700</xdr:colOff>
      <xdr:row>38</xdr:row>
      <xdr:rowOff>32657</xdr:rowOff>
    </xdr:to>
    <xdr:pic>
      <xdr:nvPicPr>
        <xdr:cNvPr id="1222" name="圖片 1">
          <a:extLst>
            <a:ext uri="{FF2B5EF4-FFF2-40B4-BE49-F238E27FC236}">
              <a16:creationId xmlns:a16="http://schemas.microsoft.com/office/drawing/2014/main" id="{3525D04C-05A3-B85F-B3CA-16B081DA73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23114" y="7903029"/>
          <a:ext cx="1148443" cy="7402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81968-A9CF-458A-BA41-CF2C28653FB2}">
  <dimension ref="A1:S47"/>
  <sheetViews>
    <sheetView tabSelected="1" zoomScaleSheetLayoutView="100" workbookViewId="0">
      <selection activeCell="M26" sqref="M26"/>
    </sheetView>
  </sheetViews>
  <sheetFormatPr defaultColWidth="9" defaultRowHeight="15"/>
  <cols>
    <col min="1" max="2" width="9" style="1"/>
    <col min="3" max="3" width="10.3046875" style="1" bestFit="1" customWidth="1"/>
    <col min="4" max="4" width="9" style="1"/>
    <col min="5" max="5" width="9" style="23"/>
    <col min="6" max="9" width="9" style="1"/>
    <col min="10" max="10" width="13.23046875" style="1" customWidth="1"/>
    <col min="11" max="17" width="9" style="1"/>
    <col min="18" max="18" width="23.3046875" style="1" customWidth="1"/>
    <col min="19" max="16384" width="9" style="1"/>
  </cols>
  <sheetData>
    <row r="1" spans="1:19">
      <c r="A1" s="1" t="s">
        <v>0</v>
      </c>
    </row>
    <row r="2" spans="1:19" ht="54" customHeight="1"/>
    <row r="3" spans="1:19" ht="21.75" customHeight="1">
      <c r="A3" s="32"/>
      <c r="B3" s="32"/>
      <c r="C3" s="32"/>
      <c r="D3" s="32"/>
      <c r="H3" s="2" t="s">
        <v>1</v>
      </c>
      <c r="I3" s="2"/>
      <c r="J3" s="2"/>
      <c r="K3" s="2"/>
    </row>
    <row r="5" spans="1:19" ht="40.5" customHeight="1">
      <c r="A5" s="39" t="s">
        <v>2</v>
      </c>
      <c r="B5" s="39"/>
      <c r="C5" s="39"/>
      <c r="D5" s="39"/>
      <c r="E5" s="39"/>
      <c r="F5" s="39"/>
      <c r="G5" s="39"/>
      <c r="H5" s="39"/>
      <c r="I5" s="39"/>
      <c r="J5" s="39"/>
      <c r="O5" s="18" t="s">
        <v>64</v>
      </c>
      <c r="P5" s="18"/>
      <c r="Q5" s="18"/>
      <c r="R5" s="18" t="s">
        <v>93</v>
      </c>
      <c r="S5" s="18"/>
    </row>
    <row r="6" spans="1:19" ht="28.5" customHeight="1">
      <c r="A6" s="40" t="s">
        <v>54</v>
      </c>
      <c r="B6" s="41"/>
      <c r="C6" s="41"/>
      <c r="D6" s="41"/>
      <c r="E6" s="41"/>
      <c r="F6" s="41"/>
      <c r="G6" s="41"/>
      <c r="H6" s="41"/>
      <c r="I6" s="41"/>
      <c r="J6" s="41"/>
      <c r="O6" s="18" t="s">
        <v>65</v>
      </c>
      <c r="P6" s="18"/>
      <c r="Q6" s="18"/>
      <c r="R6" s="18" t="s">
        <v>94</v>
      </c>
      <c r="S6" s="18"/>
    </row>
    <row r="7" spans="1:19" ht="15.45">
      <c r="A7" s="3" t="s">
        <v>33</v>
      </c>
      <c r="C7" s="36" t="s">
        <v>111</v>
      </c>
      <c r="D7" s="36"/>
      <c r="E7" s="36"/>
      <c r="F7" s="36"/>
      <c r="O7" s="18" t="s">
        <v>95</v>
      </c>
      <c r="P7" s="18"/>
      <c r="Q7" s="18"/>
      <c r="R7" s="18" t="s">
        <v>96</v>
      </c>
      <c r="S7" s="18"/>
    </row>
    <row r="8" spans="1:19" ht="15.45">
      <c r="A8" s="3" t="s">
        <v>3</v>
      </c>
      <c r="C8" s="37"/>
      <c r="D8" s="37"/>
      <c r="E8" s="37"/>
      <c r="F8" s="37"/>
      <c r="O8" s="18" t="s">
        <v>97</v>
      </c>
      <c r="P8" s="18"/>
      <c r="Q8" s="18"/>
      <c r="R8" s="18">
        <v>1</v>
      </c>
      <c r="S8" s="18"/>
    </row>
    <row r="9" spans="1:19">
      <c r="O9" s="18" t="s">
        <v>66</v>
      </c>
      <c r="P9" s="18"/>
      <c r="Q9" s="18"/>
      <c r="R9" s="18" t="s">
        <v>98</v>
      </c>
      <c r="S9" s="18"/>
    </row>
    <row r="10" spans="1:19">
      <c r="A10" s="4" t="s">
        <v>4</v>
      </c>
      <c r="O10" s="18" t="s">
        <v>67</v>
      </c>
      <c r="P10" s="18"/>
      <c r="Q10" s="18"/>
      <c r="R10" s="18" t="s">
        <v>99</v>
      </c>
      <c r="S10" s="18"/>
    </row>
    <row r="11" spans="1:19">
      <c r="A11" s="3" t="s">
        <v>26</v>
      </c>
      <c r="O11" s="18" t="s">
        <v>68</v>
      </c>
      <c r="P11" s="18"/>
      <c r="Q11" s="18"/>
      <c r="R11" s="18" t="s">
        <v>100</v>
      </c>
      <c r="S11" s="18"/>
    </row>
    <row r="12" spans="1:19" ht="25.3">
      <c r="A12" s="38" t="s">
        <v>53</v>
      </c>
      <c r="B12" s="38"/>
      <c r="C12" s="38"/>
      <c r="D12" s="38"/>
      <c r="E12" s="38"/>
      <c r="F12" s="38"/>
      <c r="G12" s="38"/>
      <c r="H12" s="38"/>
      <c r="I12" s="38"/>
      <c r="J12" s="38"/>
      <c r="O12" s="18" t="s">
        <v>69</v>
      </c>
      <c r="P12" s="18"/>
      <c r="Q12" s="18"/>
      <c r="R12" s="18" t="s">
        <v>113</v>
      </c>
      <c r="S12" s="18"/>
    </row>
    <row r="13" spans="1:19">
      <c r="A13" s="3" t="s">
        <v>5</v>
      </c>
      <c r="O13" s="18" t="s">
        <v>70</v>
      </c>
      <c r="P13" s="18"/>
      <c r="Q13" s="18"/>
      <c r="R13" s="18" t="s">
        <v>101</v>
      </c>
      <c r="S13" s="18"/>
    </row>
    <row r="14" spans="1:19">
      <c r="A14" s="5" t="s">
        <v>6</v>
      </c>
      <c r="B14" s="6"/>
      <c r="C14" s="6"/>
      <c r="D14" s="6"/>
      <c r="E14" s="24"/>
      <c r="F14" s="7" t="s">
        <v>7</v>
      </c>
      <c r="G14" s="7"/>
      <c r="H14" s="6"/>
      <c r="O14" s="18" t="s">
        <v>71</v>
      </c>
      <c r="P14" s="18"/>
      <c r="Q14" s="18"/>
      <c r="R14" s="18" t="s">
        <v>101</v>
      </c>
      <c r="S14" s="18"/>
    </row>
    <row r="15" spans="1:19">
      <c r="A15" s="33" t="s">
        <v>34</v>
      </c>
      <c r="B15" s="33"/>
      <c r="C15" s="33"/>
      <c r="D15" s="33" t="s">
        <v>112</v>
      </c>
      <c r="E15" s="33"/>
      <c r="F15" s="33" t="s">
        <v>41</v>
      </c>
      <c r="G15" s="33"/>
      <c r="H15" s="33"/>
      <c r="I15" s="33" t="str">
        <f>C7</f>
        <v>RN-2302</v>
      </c>
      <c r="J15" s="33"/>
      <c r="O15" s="18" t="s">
        <v>72</v>
      </c>
      <c r="P15" s="18"/>
      <c r="Q15" s="18"/>
      <c r="R15" s="18">
        <v>22522453</v>
      </c>
      <c r="S15" s="18"/>
    </row>
    <row r="16" spans="1:19">
      <c r="A16" s="33" t="s">
        <v>40</v>
      </c>
      <c r="B16" s="33"/>
      <c r="C16" s="33"/>
      <c r="D16" s="14" t="s">
        <v>46</v>
      </c>
      <c r="E16" s="25"/>
      <c r="F16" s="33" t="s">
        <v>42</v>
      </c>
      <c r="G16" s="33"/>
      <c r="H16" s="33"/>
      <c r="I16" s="42" t="s">
        <v>56</v>
      </c>
      <c r="J16" s="33"/>
      <c r="O16" s="18" t="s">
        <v>73</v>
      </c>
      <c r="P16" s="18"/>
      <c r="Q16" s="18"/>
      <c r="R16" s="19" t="str">
        <f ca="1">C7 &amp; ";" &amp; TEXT(I41, "yyyymmdd")</f>
        <v>RN-2302;20261012</v>
      </c>
      <c r="S16" s="18"/>
    </row>
    <row r="17" spans="1:19">
      <c r="A17" s="33" t="s">
        <v>38</v>
      </c>
      <c r="B17" s="33"/>
      <c r="C17" s="33"/>
      <c r="D17" s="35"/>
      <c r="E17" s="35"/>
      <c r="F17" s="33" t="s">
        <v>43</v>
      </c>
      <c r="G17" s="33"/>
      <c r="H17" s="33"/>
      <c r="I17" s="42" t="s">
        <v>56</v>
      </c>
      <c r="J17" s="33"/>
      <c r="O17" s="18" t="s">
        <v>74</v>
      </c>
      <c r="P17" s="18"/>
      <c r="Q17" s="18"/>
      <c r="R17" s="18" t="s">
        <v>102</v>
      </c>
      <c r="S17" s="18"/>
    </row>
    <row r="18" spans="1:19">
      <c r="A18" s="33" t="s">
        <v>39</v>
      </c>
      <c r="B18" s="33"/>
      <c r="C18" s="33"/>
      <c r="D18" s="35"/>
      <c r="E18" s="35"/>
      <c r="F18" s="33" t="s">
        <v>44</v>
      </c>
      <c r="G18" s="33"/>
      <c r="H18" s="33"/>
      <c r="I18" s="43" t="s">
        <v>57</v>
      </c>
      <c r="J18" s="43"/>
      <c r="O18" s="18" t="s">
        <v>75</v>
      </c>
      <c r="P18" s="18"/>
      <c r="Q18" s="18"/>
      <c r="R18" s="18">
        <v>1</v>
      </c>
      <c r="S18" s="18"/>
    </row>
    <row r="19" spans="1:19">
      <c r="A19" s="34"/>
      <c r="B19" s="34"/>
      <c r="C19" s="34"/>
      <c r="O19" s="18" t="s">
        <v>76</v>
      </c>
      <c r="P19" s="18"/>
      <c r="Q19" s="18"/>
      <c r="R19" s="18" t="s">
        <v>103</v>
      </c>
      <c r="S19" s="18"/>
    </row>
    <row r="20" spans="1:19">
      <c r="A20" s="7" t="s">
        <v>8</v>
      </c>
      <c r="O20" s="18" t="s">
        <v>77</v>
      </c>
      <c r="P20" s="18"/>
      <c r="Q20" s="18"/>
      <c r="R20" s="18" t="s">
        <v>113</v>
      </c>
      <c r="S20" s="18"/>
    </row>
    <row r="21" spans="1:19" ht="8.25" customHeight="1">
      <c r="O21" s="18" t="s">
        <v>104</v>
      </c>
      <c r="P21" s="18"/>
      <c r="Q21" s="18"/>
      <c r="R21" s="22">
        <f>D17</f>
        <v>0</v>
      </c>
      <c r="S21" s="18"/>
    </row>
    <row r="22" spans="1:19" s="6" customFormat="1" ht="16.75" customHeight="1">
      <c r="A22" s="31" t="s">
        <v>9</v>
      </c>
      <c r="B22" s="31"/>
      <c r="C22" s="31" t="s">
        <v>10</v>
      </c>
      <c r="D22" s="31"/>
      <c r="E22" s="31" t="s">
        <v>11</v>
      </c>
      <c r="F22" s="31"/>
      <c r="G22" s="31" t="s">
        <v>12</v>
      </c>
      <c r="H22" s="31"/>
      <c r="I22" s="45" t="s">
        <v>13</v>
      </c>
      <c r="J22" s="45"/>
      <c r="O22" s="18" t="s">
        <v>78</v>
      </c>
      <c r="P22" s="18"/>
      <c r="Q22" s="18"/>
      <c r="R22" s="21">
        <f>R21+730</f>
        <v>730</v>
      </c>
      <c r="S22" s="18"/>
    </row>
    <row r="23" spans="1:19" s="9" customFormat="1" ht="16.75" customHeight="1">
      <c r="A23" s="44" t="s">
        <v>27</v>
      </c>
      <c r="B23" s="44"/>
      <c r="C23" s="30" t="s">
        <v>35</v>
      </c>
      <c r="D23" s="30"/>
      <c r="E23" s="30" t="s">
        <v>36</v>
      </c>
      <c r="F23" s="30"/>
      <c r="G23" s="50" t="s">
        <v>15</v>
      </c>
      <c r="H23" s="50"/>
      <c r="I23" s="50"/>
      <c r="J23" s="50"/>
      <c r="O23" s="18" t="s">
        <v>79</v>
      </c>
      <c r="P23" s="18"/>
      <c r="Q23" s="18"/>
      <c r="R23" s="21">
        <f ca="1">I41</f>
        <v>46307</v>
      </c>
      <c r="S23" s="18"/>
    </row>
    <row r="24" spans="1:19" s="9" customFormat="1" ht="16.75" customHeight="1">
      <c r="A24" s="46" t="s">
        <v>28</v>
      </c>
      <c r="B24" s="46"/>
      <c r="C24" s="47" t="s">
        <v>58</v>
      </c>
      <c r="D24" s="47"/>
      <c r="E24" s="26"/>
      <c r="F24" s="15" t="s">
        <v>45</v>
      </c>
      <c r="G24" s="47" t="s">
        <v>23</v>
      </c>
      <c r="H24" s="47"/>
      <c r="I24" s="47" t="s">
        <v>31</v>
      </c>
      <c r="J24" s="47"/>
      <c r="M24" s="16"/>
      <c r="O24" s="18" t="s">
        <v>80</v>
      </c>
      <c r="P24" s="18"/>
      <c r="Q24" s="18"/>
      <c r="R24" s="18" t="s">
        <v>105</v>
      </c>
      <c r="S24" s="18"/>
    </row>
    <row r="25" spans="1:19" s="9" customFormat="1" ht="16.75" customHeight="1">
      <c r="A25" s="44" t="s">
        <v>21</v>
      </c>
      <c r="B25" s="44"/>
      <c r="C25" s="47" t="s">
        <v>49</v>
      </c>
      <c r="D25" s="47"/>
      <c r="E25" s="26"/>
      <c r="F25" s="15" t="s">
        <v>45</v>
      </c>
      <c r="G25" s="47" t="s">
        <v>23</v>
      </c>
      <c r="H25" s="47"/>
      <c r="I25" s="47" t="s">
        <v>31</v>
      </c>
      <c r="J25" s="47"/>
      <c r="M25" s="16"/>
      <c r="O25" s="18" t="s">
        <v>81</v>
      </c>
      <c r="P25" s="18"/>
      <c r="Q25" s="18"/>
      <c r="R25" s="18" t="s">
        <v>106</v>
      </c>
      <c r="S25" s="18"/>
    </row>
    <row r="26" spans="1:19" s="9" customFormat="1" ht="16.75" customHeight="1">
      <c r="A26" s="44" t="s">
        <v>47</v>
      </c>
      <c r="B26" s="44"/>
      <c r="C26" s="47" t="s">
        <v>50</v>
      </c>
      <c r="D26" s="47"/>
      <c r="E26" s="26"/>
      <c r="F26" s="15" t="s">
        <v>45</v>
      </c>
      <c r="G26" s="47" t="s">
        <v>24</v>
      </c>
      <c r="H26" s="47"/>
      <c r="I26" s="47" t="s">
        <v>31</v>
      </c>
      <c r="J26" s="47"/>
      <c r="M26" s="16"/>
      <c r="O26" s="18" t="s">
        <v>82</v>
      </c>
      <c r="P26" s="18"/>
      <c r="Q26" s="18"/>
      <c r="R26" s="21">
        <f ca="1">TODAY()</f>
        <v>46306</v>
      </c>
      <c r="S26" s="18"/>
    </row>
    <row r="27" spans="1:19" s="9" customFormat="1" ht="16.75" customHeight="1">
      <c r="A27" s="44" t="s">
        <v>48</v>
      </c>
      <c r="B27" s="44"/>
      <c r="C27" s="47" t="s">
        <v>51</v>
      </c>
      <c r="D27" s="47"/>
      <c r="E27" s="26"/>
      <c r="F27" s="15" t="s">
        <v>45</v>
      </c>
      <c r="G27" s="47" t="s">
        <v>32</v>
      </c>
      <c r="H27" s="47"/>
      <c r="I27" s="47" t="s">
        <v>55</v>
      </c>
      <c r="J27" s="47"/>
      <c r="M27" s="16"/>
      <c r="O27" s="18" t="s">
        <v>107</v>
      </c>
      <c r="P27" s="18"/>
      <c r="Q27" s="18"/>
      <c r="R27" s="20" t="str">
        <f>C7</f>
        <v>RN-2302</v>
      </c>
      <c r="S27" s="18"/>
    </row>
    <row r="28" spans="1:19" s="9" customFormat="1" ht="16.75" customHeight="1">
      <c r="A28" s="10" t="s">
        <v>29</v>
      </c>
      <c r="B28" s="10"/>
      <c r="C28" s="47" t="s">
        <v>37</v>
      </c>
      <c r="D28" s="47"/>
      <c r="E28" s="27"/>
      <c r="F28" s="15" t="s">
        <v>45</v>
      </c>
      <c r="G28" s="50" t="s">
        <v>30</v>
      </c>
      <c r="H28" s="50"/>
      <c r="I28" s="47" t="s">
        <v>31</v>
      </c>
      <c r="J28" s="47"/>
      <c r="M28" s="16"/>
      <c r="O28" s="18"/>
      <c r="P28" s="18" t="s">
        <v>83</v>
      </c>
      <c r="Q28" s="18" t="s">
        <v>84</v>
      </c>
      <c r="R28" s="18" t="s">
        <v>85</v>
      </c>
      <c r="S28" s="18" t="s">
        <v>108</v>
      </c>
    </row>
    <row r="29" spans="1:19" s="9" customFormat="1" ht="16.75" customHeight="1">
      <c r="A29" s="44" t="s">
        <v>22</v>
      </c>
      <c r="B29" s="44"/>
      <c r="C29" s="50" t="s">
        <v>37</v>
      </c>
      <c r="D29" s="50"/>
      <c r="E29" s="27"/>
      <c r="F29" s="15" t="s">
        <v>45</v>
      </c>
      <c r="G29" s="50" t="s">
        <v>14</v>
      </c>
      <c r="H29" s="50"/>
      <c r="I29" s="47" t="s">
        <v>31</v>
      </c>
      <c r="J29" s="47"/>
      <c r="M29" s="16"/>
      <c r="O29" s="18" t="s">
        <v>109</v>
      </c>
      <c r="P29" s="18" t="s">
        <v>110</v>
      </c>
      <c r="Q29" s="18">
        <v>99.998999999999995</v>
      </c>
      <c r="R29" s="18" t="s">
        <v>93</v>
      </c>
      <c r="S29" s="18">
        <v>99.998999999999995</v>
      </c>
    </row>
    <row r="30" spans="1:19" s="9" customFormat="1" ht="16.75" customHeight="1">
      <c r="A30" s="8"/>
      <c r="B30" s="8"/>
      <c r="C30" s="17"/>
      <c r="D30" s="17"/>
      <c r="E30" s="28"/>
      <c r="G30" s="17"/>
      <c r="H30" s="17"/>
      <c r="I30" s="17"/>
      <c r="J30" s="17"/>
      <c r="M30" s="16"/>
      <c r="N30" s="9" t="e">
        <f t="shared" ref="N30:N31" si="0">SUBSTITUTE(E24, "&lt;", "") /1000</f>
        <v>#VALUE!</v>
      </c>
      <c r="O30" s="18" t="s">
        <v>86</v>
      </c>
      <c r="P30" s="18" t="s">
        <v>87</v>
      </c>
      <c r="Q30" s="18">
        <v>1</v>
      </c>
      <c r="R30" s="18">
        <v>0.01</v>
      </c>
      <c r="S30" s="19" t="e">
        <f t="shared" ref="S30:S35" si="1">ROUND(N30,3)</f>
        <v>#VALUE!</v>
      </c>
    </row>
    <row r="31" spans="1:19" s="9" customFormat="1" ht="16.75" customHeight="1">
      <c r="A31" s="8"/>
      <c r="B31" s="8"/>
      <c r="C31" s="17"/>
      <c r="D31" s="17"/>
      <c r="E31" s="28"/>
      <c r="G31" s="17"/>
      <c r="H31" s="17"/>
      <c r="I31" s="17"/>
      <c r="J31" s="17"/>
      <c r="M31" s="16"/>
      <c r="N31" s="9" t="e">
        <f t="shared" si="0"/>
        <v>#VALUE!</v>
      </c>
      <c r="O31" s="18" t="s">
        <v>88</v>
      </c>
      <c r="P31" s="18" t="s">
        <v>87</v>
      </c>
      <c r="Q31" s="18">
        <v>4</v>
      </c>
      <c r="R31" s="18">
        <v>0.01</v>
      </c>
      <c r="S31" s="19" t="e">
        <f t="shared" si="1"/>
        <v>#VALUE!</v>
      </c>
    </row>
    <row r="32" spans="1:19" s="6" customFormat="1" ht="12.45">
      <c r="E32" s="24"/>
      <c r="N32" s="9" t="e">
        <f>SUBSTITUTE(E26, "&lt;", "") /1000</f>
        <v>#VALUE!</v>
      </c>
      <c r="O32" s="18" t="s">
        <v>89</v>
      </c>
      <c r="P32" s="18" t="s">
        <v>87</v>
      </c>
      <c r="Q32" s="18">
        <v>0.6</v>
      </c>
      <c r="R32" s="18">
        <v>0.01</v>
      </c>
      <c r="S32" s="19" t="e">
        <f t="shared" si="1"/>
        <v>#VALUE!</v>
      </c>
    </row>
    <row r="33" spans="1:19" s="6" customFormat="1" ht="14.25" customHeight="1">
      <c r="A33" s="3" t="s">
        <v>16</v>
      </c>
      <c r="E33" s="24"/>
      <c r="G33" s="11"/>
      <c r="H33" s="52" t="s">
        <v>19</v>
      </c>
      <c r="I33" s="52"/>
      <c r="J33" s="52"/>
      <c r="N33" s="9" t="e">
        <f>SUBSTITUTE(E27, "&lt;", "") /1000</f>
        <v>#VALUE!</v>
      </c>
      <c r="O33" s="18" t="s">
        <v>90</v>
      </c>
      <c r="P33" s="18" t="s">
        <v>87</v>
      </c>
      <c r="Q33" s="18">
        <v>0.3</v>
      </c>
      <c r="R33" s="18">
        <v>0.02</v>
      </c>
      <c r="S33" s="19" t="e">
        <f t="shared" si="1"/>
        <v>#VALUE!</v>
      </c>
    </row>
    <row r="34" spans="1:19" s="6" customFormat="1" ht="14.25" customHeight="1">
      <c r="A34" s="3" t="s">
        <v>17</v>
      </c>
      <c r="E34" s="24"/>
      <c r="G34" s="11"/>
      <c r="H34" s="52" t="s">
        <v>18</v>
      </c>
      <c r="I34" s="52"/>
      <c r="J34" s="52"/>
      <c r="N34" s="9" t="e">
        <f t="shared" ref="N34:N35" si="2">SUBSTITUTE(E28, "&lt;", "") /1000</f>
        <v>#VALUE!</v>
      </c>
      <c r="O34" s="18" t="s">
        <v>91</v>
      </c>
      <c r="P34" s="18" t="s">
        <v>87</v>
      </c>
      <c r="Q34" s="18">
        <v>1</v>
      </c>
      <c r="R34" s="18">
        <v>0.01</v>
      </c>
      <c r="S34" s="19" t="e">
        <f t="shared" si="1"/>
        <v>#VALUE!</v>
      </c>
    </row>
    <row r="35" spans="1:19" s="6" customFormat="1" ht="12.45">
      <c r="E35" s="24"/>
      <c r="H35" s="53"/>
      <c r="I35" s="53"/>
      <c r="J35" s="53"/>
      <c r="N35" s="9" t="e">
        <f t="shared" si="2"/>
        <v>#VALUE!</v>
      </c>
      <c r="O35" s="18" t="s">
        <v>92</v>
      </c>
      <c r="P35" s="18" t="s">
        <v>87</v>
      </c>
      <c r="Q35" s="18">
        <v>1</v>
      </c>
      <c r="R35" s="18">
        <v>0.01</v>
      </c>
      <c r="S35" s="19" t="e">
        <f t="shared" si="1"/>
        <v>#VALUE!</v>
      </c>
    </row>
    <row r="36" spans="1:19" s="6" customFormat="1" ht="24.75" customHeight="1">
      <c r="A36" s="51"/>
      <c r="B36" s="51"/>
      <c r="C36" s="51"/>
      <c r="D36" s="51"/>
      <c r="E36" s="51"/>
      <c r="F36" s="51"/>
      <c r="H36" s="52" t="s">
        <v>25</v>
      </c>
      <c r="I36" s="52"/>
      <c r="J36" s="52"/>
    </row>
    <row r="37" spans="1:19">
      <c r="A37" s="51"/>
      <c r="B37" s="51"/>
      <c r="C37" s="51"/>
      <c r="D37" s="51"/>
      <c r="E37" s="51"/>
      <c r="F37" s="51"/>
      <c r="H37" s="53"/>
      <c r="I37" s="53"/>
      <c r="J37" s="53"/>
    </row>
    <row r="38" spans="1:19">
      <c r="A38" s="6"/>
      <c r="H38" s="33" t="s">
        <v>20</v>
      </c>
      <c r="I38" s="33"/>
      <c r="J38" s="33"/>
    </row>
    <row r="39" spans="1:19">
      <c r="H39" s="54"/>
      <c r="I39" s="54"/>
      <c r="J39" s="54"/>
    </row>
    <row r="40" spans="1:19">
      <c r="H40" s="33"/>
      <c r="I40" s="33"/>
      <c r="J40" s="33"/>
    </row>
    <row r="41" spans="1:19">
      <c r="H41" s="8" t="s">
        <v>52</v>
      </c>
      <c r="I41" s="55">
        <f ca="1">TODAY()+1</f>
        <v>46307</v>
      </c>
      <c r="J41" s="33"/>
    </row>
    <row r="42" spans="1:19">
      <c r="A42" s="33" t="s">
        <v>59</v>
      </c>
      <c r="B42" s="33"/>
      <c r="C42" s="33"/>
      <c r="D42" s="33"/>
      <c r="E42" s="33"/>
      <c r="F42" s="33"/>
      <c r="G42" s="33"/>
      <c r="H42" s="33"/>
      <c r="I42" s="33"/>
      <c r="J42" s="33"/>
    </row>
    <row r="43" spans="1:19">
      <c r="A43" s="48" t="s">
        <v>60</v>
      </c>
      <c r="B43" s="48"/>
      <c r="C43" s="48"/>
      <c r="D43" s="48"/>
      <c r="E43" s="48"/>
      <c r="F43" s="48"/>
      <c r="G43" s="48"/>
      <c r="H43" s="48"/>
      <c r="I43" s="48"/>
      <c r="J43" s="48"/>
    </row>
    <row r="44" spans="1:19">
      <c r="A44" s="49" t="s">
        <v>61</v>
      </c>
      <c r="B44" s="49"/>
      <c r="C44" s="49"/>
      <c r="D44" s="49"/>
      <c r="E44" s="49"/>
      <c r="F44" s="49"/>
      <c r="G44" s="49"/>
      <c r="H44" s="49"/>
      <c r="I44" s="49"/>
      <c r="J44" s="49"/>
    </row>
    <row r="45" spans="1:19">
      <c r="A45" s="33" t="s">
        <v>62</v>
      </c>
      <c r="B45" s="33"/>
      <c r="C45" s="33"/>
      <c r="D45" s="33"/>
      <c r="E45" s="33"/>
      <c r="F45" s="33"/>
      <c r="G45" s="33"/>
      <c r="H45" s="33"/>
      <c r="I45" s="33"/>
      <c r="J45" s="33"/>
    </row>
    <row r="46" spans="1:19">
      <c r="B46" s="12"/>
      <c r="C46" s="12"/>
      <c r="D46" s="12"/>
      <c r="E46" s="29"/>
      <c r="F46" s="12"/>
      <c r="G46" s="12"/>
      <c r="H46" s="13" t="s">
        <v>63</v>
      </c>
      <c r="I46" s="12"/>
      <c r="J46" s="12"/>
    </row>
    <row r="47" spans="1:19">
      <c r="A47" s="6"/>
      <c r="B47" s="6"/>
      <c r="C47" s="6"/>
      <c r="D47" s="6"/>
      <c r="E47" s="24"/>
      <c r="F47" s="6"/>
      <c r="I47" s="6"/>
      <c r="J47" s="6"/>
    </row>
  </sheetData>
  <mergeCells count="69">
    <mergeCell ref="I23:J23"/>
    <mergeCell ref="G23:H23"/>
    <mergeCell ref="H33:J33"/>
    <mergeCell ref="H34:J34"/>
    <mergeCell ref="I24:J24"/>
    <mergeCell ref="I25:J25"/>
    <mergeCell ref="I26:J26"/>
    <mergeCell ref="G29:H29"/>
    <mergeCell ref="G26:H26"/>
    <mergeCell ref="G25:H25"/>
    <mergeCell ref="I27:J27"/>
    <mergeCell ref="I29:J29"/>
    <mergeCell ref="I28:J28"/>
    <mergeCell ref="C27:D27"/>
    <mergeCell ref="H38:J38"/>
    <mergeCell ref="G27:H27"/>
    <mergeCell ref="A43:J43"/>
    <mergeCell ref="A45:J45"/>
    <mergeCell ref="A44:J44"/>
    <mergeCell ref="G28:H28"/>
    <mergeCell ref="A36:F37"/>
    <mergeCell ref="H36:J36"/>
    <mergeCell ref="H37:J37"/>
    <mergeCell ref="H35:J35"/>
    <mergeCell ref="C29:D29"/>
    <mergeCell ref="H40:J40"/>
    <mergeCell ref="A42:J42"/>
    <mergeCell ref="H39:J39"/>
    <mergeCell ref="I41:J41"/>
    <mergeCell ref="A29:B29"/>
    <mergeCell ref="I22:J22"/>
    <mergeCell ref="A24:B24"/>
    <mergeCell ref="A22:B22"/>
    <mergeCell ref="A25:B25"/>
    <mergeCell ref="A23:B23"/>
    <mergeCell ref="C22:D22"/>
    <mergeCell ref="G22:H22"/>
    <mergeCell ref="G24:H24"/>
    <mergeCell ref="A26:B26"/>
    <mergeCell ref="C23:D23"/>
    <mergeCell ref="C24:D24"/>
    <mergeCell ref="C28:D28"/>
    <mergeCell ref="A27:B27"/>
    <mergeCell ref="C25:D25"/>
    <mergeCell ref="C26:D26"/>
    <mergeCell ref="I16:J16"/>
    <mergeCell ref="I17:J17"/>
    <mergeCell ref="I18:J18"/>
    <mergeCell ref="F16:H16"/>
    <mergeCell ref="F17:H17"/>
    <mergeCell ref="F18:H18"/>
    <mergeCell ref="I15:J15"/>
    <mergeCell ref="C8:F8"/>
    <mergeCell ref="A12:J12"/>
    <mergeCell ref="A5:J5"/>
    <mergeCell ref="A6:J6"/>
    <mergeCell ref="D15:E15"/>
    <mergeCell ref="E23:F23"/>
    <mergeCell ref="E22:F22"/>
    <mergeCell ref="A3:D3"/>
    <mergeCell ref="A15:C15"/>
    <mergeCell ref="F15:H15"/>
    <mergeCell ref="A19:C19"/>
    <mergeCell ref="D17:E17"/>
    <mergeCell ref="D18:E18"/>
    <mergeCell ref="A17:C17"/>
    <mergeCell ref="A18:C18"/>
    <mergeCell ref="C7:F7"/>
    <mergeCell ref="A16:C16"/>
  </mergeCells>
  <phoneticPr fontId="3" type="noConversion"/>
  <pageMargins left="0.28999999999999998" right="0.27" top="0.41" bottom="0.5" header="0.27" footer="0.28000000000000003"/>
  <pageSetup paperSize="9" orientation="portrait" horizontalDpi="1200" verticalDpi="12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alfe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WU, Jos</dc:creator>
  <cp:lastModifiedBy>Aragorn</cp:lastModifiedBy>
  <cp:lastPrinted>2026-07-01T08:54:59Z</cp:lastPrinted>
  <dcterms:created xsi:type="dcterms:W3CDTF">2007-05-03T09:09:13Z</dcterms:created>
  <dcterms:modified xsi:type="dcterms:W3CDTF">2026-10-11T04:43:39Z</dcterms:modified>
</cp:coreProperties>
</file>